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Documents\mauTest\MyDemoApp\"/>
    </mc:Choice>
  </mc:AlternateContent>
  <xr:revisionPtr revIDLastSave="0" documentId="13_ncr:1_{AB234193-4201-4FC1-A1BC-F78C331FB1DE}" xr6:coauthVersionLast="47" xr6:coauthVersionMax="47" xr10:uidLastSave="{00000000-0000-0000-0000-000000000000}"/>
  <bookViews>
    <workbookView xWindow="-110" yWindow="-110" windowWidth="22620" windowHeight="13500" activeTab="1" xr2:uid="{00000000-000D-0000-FFFF-FFFF00000000}"/>
  </bookViews>
  <sheets>
    <sheet name="Dashboard" sheetId="1" r:id="rId1"/>
    <sheet name="Bug Report" sheetId="2" r:id="rId2"/>
    <sheet name="Guide"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0" i="1" l="1"/>
  <c r="B19" i="1"/>
  <c r="B18" i="1"/>
  <c r="B17" i="1"/>
  <c r="B14" i="1"/>
  <c r="B13" i="1"/>
  <c r="B12" i="1"/>
  <c r="B11" i="1"/>
  <c r="B10" i="1"/>
</calcChain>
</file>

<file path=xl/sharedStrings.xml><?xml version="1.0" encoding="utf-8"?>
<sst xmlns="http://schemas.openxmlformats.org/spreadsheetml/2006/main" count="183" uniqueCount="127">
  <si>
    <t>BUG REPORT</t>
  </si>
  <si>
    <t>Project Name</t>
  </si>
  <si>
    <t>SAUCELABS DEMO APP TESTING</t>
  </si>
  <si>
    <t>App Name</t>
  </si>
  <si>
    <t>MyDemoApp</t>
  </si>
  <si>
    <t>Version</t>
  </si>
  <si>
    <t>V.2.2.0-build 25</t>
  </si>
  <si>
    <t>Environment</t>
  </si>
  <si>
    <t>Android Emulator – Pixel 6a / Android 17 (API 37.0)</t>
  </si>
  <si>
    <t>Tester</t>
  </si>
  <si>
    <t>Nguyen Hoang Lam Tan</t>
  </si>
  <si>
    <t>Date</t>
  </si>
  <si>
    <t>07/06/2026 - 13/06/2026</t>
  </si>
  <si>
    <t>BUG SUMMARY</t>
  </si>
  <si>
    <t>Total Bugs</t>
  </si>
  <si>
    <t>Critical</t>
  </si>
  <si>
    <t>High</t>
  </si>
  <si>
    <t>Medium</t>
  </si>
  <si>
    <t>Low</t>
  </si>
  <si>
    <t>Open</t>
  </si>
  <si>
    <t>In Progress</t>
  </si>
  <si>
    <t>Fixed</t>
  </si>
  <si>
    <t>Closed</t>
  </si>
  <si>
    <t>No.</t>
  </si>
  <si>
    <t>Bug ID</t>
  </si>
  <si>
    <t>Module</t>
  </si>
  <si>
    <t>Title</t>
  </si>
  <si>
    <t>Description</t>
  </si>
  <si>
    <t>Steps to Reproduce</t>
  </si>
  <si>
    <t>Expected Result</t>
  </si>
  <si>
    <t>Actual Result</t>
  </si>
  <si>
    <t>Severity</t>
  </si>
  <si>
    <t>Priority</t>
  </si>
  <si>
    <t>Related TC</t>
  </si>
  <si>
    <t>Status</t>
  </si>
  <si>
    <t>BUG_001</t>
  </si>
  <si>
    <t>Product Catalog</t>
  </si>
  <si>
    <t>Products at bottom of Catalog list are unresponsive and cause app crash</t>
  </si>
  <si>
    <t>Products located at the bottom of the Catalog page cannot be tapped. After approximately 3 tap attempts, the application crashes unexpectedly.</t>
  </si>
  <si>
    <t>1. Launch app and navigate to Catalog page
2. Scroll to the bottom of the product list
3. Tap on any product at the bottom
4. Repeat tapping approximately 3 times</t>
  </si>
  <si>
    <t>Product Detail page is displayed with the correct product information</t>
  </si>
  <si>
    <t>Products at the bottom of the list do not respond to tap. App crashes after approximately 3 tap attempts.</t>
  </si>
  <si>
    <t>CRITICAL</t>
  </si>
  <si>
    <t>HIGH</t>
  </si>
  <si>
    <t>BUG_002</t>
  </si>
  <si>
    <t>Checkout &amp; Payment</t>
  </si>
  <si>
    <t>Empty Card Number field does not display error message on Payment page</t>
  </si>
  <si>
    <t>When the Card Number field is left blank and the user taps "Review Order", no error message is displayed. The app does not navigate but provides no feedback to the user.</t>
  </si>
  <si>
    <t>1. Login and add a product to cart
2. Proceed to Checkout, fill shipping info
3. On Payment page, leave Card Number blank
4. Tap "Review Order"</t>
  </si>
  <si>
    <t>Error message displayed indicating Card Number is required. App does not navigate.</t>
  </si>
  <si>
    <t>No error message displayed. App does not navigate but user receives no feedback.</t>
  </si>
  <si>
    <t>MEDIUM</t>
  </si>
  <si>
    <t>TC_CHK_013</t>
  </si>
  <si>
    <t>BUG_003</t>
  </si>
  <si>
    <t>WebViewer</t>
  </si>
  <si>
    <t>HTTP URL navigates to WebViewer instead of showing error at input</t>
  </si>
  <si>
    <t>When an HTTP URL (without S) is entered, the app navigates to the WebViewer page before displaying an error (net::ERR_NAME_NOT_RESOLVED). This is inconsistent with how invalid URL formats are handled — which are blocked at the input field.</t>
  </si>
  <si>
    <t>1. Navigate to WebViewer via menu
2. Enter HTTP URL (e.g. http://google.com)
3. Tap "Go To Site"</t>
  </si>
  <si>
    <t>Error message displayed at input field. App does not navigate to WebViewer.</t>
  </si>
  <si>
    <t>App navigates to WebViewer then displays error net::ERR_NAME_NOT_RESOLVED. Inconsistent with invalid URL behavior.</t>
  </si>
  <si>
    <t>TC_WBV_003</t>
  </si>
  <si>
    <t>BUG_004</t>
  </si>
  <si>
    <t>Drawing</t>
  </si>
  <si>
    <t>Save success notification displayed despite storage permission being denied on Drawing page</t>
  </si>
  <si>
    <t>When storage permission is denied and the user attempts to save a drawing, the app displays a "Save Drawing" success notification. This misleads the user into believing the drawing was saved when it was not.</t>
  </si>
  <si>
    <t>1. Navigate to Drawing page
2. Tap "Don't allow" on permission dialog
3. Draw something on canvas
4. Tap "Save"</t>
  </si>
  <si>
    <t>App displays an error message indicating the drawing cannot be saved due to permission being denied.</t>
  </si>
  <si>
    <t>App displays "Save Drawing" success notification despite storage permission being denied. Drawing is not actually saved.</t>
  </si>
  <si>
    <t>BUG_005</t>
  </si>
  <si>
    <t>Save success notification displayed when saving empty canvas on Drawing page</t>
  </si>
  <si>
    <t>When the user taps "Save" without drawing anything on the canvas, the app still displays a save success notification. No validation is performed to check if the canvas is empty.</t>
  </si>
  <si>
    <t>1. Navigate to Drawing page
2. Do not draw anything on canvas
3. Tap "Save"</t>
  </si>
  <si>
    <t>A warning message "Nothing to save" is displayed, or the Save button is disabled when canvas is empty.</t>
  </si>
  <si>
    <t>App displays save success notification on empty canvas without any validation.</t>
  </si>
  <si>
    <t>LOW</t>
  </si>
  <si>
    <t>TC_DRW_008</t>
  </si>
  <si>
    <t>BUG_006</t>
  </si>
  <si>
    <t>Expired card date accepted without validation on Payment page</t>
  </si>
  <si>
    <t>When an expired expiration date is entered in the card Expiration Date field, the app does not display any error and navigates to the Review Order page.</t>
  </si>
  <si>
    <t>1. Login and add a product to cart
2. Proceed through Checkout to Payment page
3. Enter an expired date (e.g. 01/20)
4. Fill remaining fields and tap "Review Order"</t>
  </si>
  <si>
    <t>Error message displayed indicating the card expiration date is invalid. App does not navigate.</t>
  </si>
  <si>
    <t>App accepts the expired date and navigates to the Review Order page without any error.</t>
  </si>
  <si>
    <t>TC_CHK_016</t>
  </si>
  <si>
    <t>STATUS SUMARY</t>
  </si>
  <si>
    <t>Assigned To</t>
  </si>
  <si>
    <t>Dev Team</t>
  </si>
  <si>
    <t>Test case Structure</t>
  </si>
  <si>
    <t>Column</t>
  </si>
  <si>
    <t>Expected system behavior</t>
  </si>
  <si>
    <t>Bug sequence number</t>
  </si>
  <si>
    <t>Unique bug identifier (BUG_XXX)</t>
  </si>
  <si>
    <t>Short summary of the bug</t>
  </si>
  <si>
    <t>Detailed explanation of the bug</t>
  </si>
  <si>
    <t>Step-by-step instructions to reproduce</t>
  </si>
  <si>
    <t>Actual system behavior observed</t>
  </si>
  <si>
    <t>Technical impact level of the bug</t>
  </si>
  <si>
    <t>Business urgency to fix the bug</t>
  </si>
  <si>
    <t>Team or person responsible for fixing</t>
  </si>
  <si>
    <t>Current status of the bug</t>
  </si>
  <si>
    <t>Severity Levels</t>
  </si>
  <si>
    <t>Example</t>
  </si>
  <si>
    <t>System crash, data loss</t>
  </si>
  <si>
    <t>Major functionality broken</t>
  </si>
  <si>
    <t>Minor functionality issue</t>
  </si>
  <si>
    <t>Cosmetic issue</t>
  </si>
  <si>
    <t>App crashes unexpectedly</t>
  </si>
  <si>
    <t>Cannot complete purchase</t>
  </si>
  <si>
    <t>Missing error message</t>
  </si>
  <si>
    <t>Unnecessary success notification</t>
  </si>
  <si>
    <t>Priority Levels</t>
  </si>
  <si>
    <t>Must fix immediately</t>
  </si>
  <si>
    <t>Fix in current sprint</t>
  </si>
  <si>
    <t>Fix when time permits</t>
  </si>
  <si>
    <t>Status Rules</t>
  </si>
  <si>
    <t>Bug reported, not yet assigned</t>
  </si>
  <si>
    <t>Developer is working on fix</t>
  </si>
  <si>
    <t>Developer has fixed, pending retest</t>
  </si>
  <si>
    <t>Bug verified fixed by tester</t>
  </si>
  <si>
    <t>BUG_007</t>
  </si>
  <si>
    <t>When the user draws something on the canvas, navigates away using the device back button, and then returns to the Drawing page via the menu, the drawing is no longer visible. The canvas resets to blank without any warning.</t>
  </si>
  <si>
    <t>Drawing is retained when re-entering the Drawing page, or a warning is shown before leaving.</t>
  </si>
  <si>
    <t>Canvas resets to blank — drawing is lost without any warning.</t>
  </si>
  <si>
    <t>TC_DRW_007</t>
  </si>
  <si>
    <t>Drawing is lost after back navigation and re-entering Drawing page</t>
  </si>
  <si>
    <t>1. Navigate to Drawing page via menu 
2. Draw something on canvas 
3. Tap device back button 
4. Tap menu (☰) → Tap "Drawing"</t>
  </si>
  <si>
    <t>TC_PRC_007, TC_PRC_008, TC_UI_003</t>
  </si>
  <si>
    <t>TC_DRW_006, TC_PER_003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</si>
</sst>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0"/>
      <name val="Calibri"/>
    </font>
    <font>
      <sz val="10"/>
      <name val="Calibri"/>
    </font>
    <font>
      <b/>
      <sz val="10"/>
      <color rgb="FF000000"/>
      <name val="Calibri"/>
    </font>
    <font>
      <sz val="10"/>
      <color rgb="FF000000"/>
      <name val="Calibri"/>
    </font>
    <font>
      <b/>
      <sz val="18"/>
      <color theme="1"/>
      <name val="Calibri"/>
      <family val="2"/>
    </font>
    <font>
      <b/>
      <sz val="11"/>
      <color theme="1"/>
      <name val="Calibri"/>
      <family val="2"/>
    </font>
    <font>
      <b/>
      <sz val="10"/>
      <color theme="1"/>
      <name val="Calibri"/>
      <family val="2"/>
    </font>
    <font>
      <b/>
      <sz val="14"/>
      <color theme="1"/>
      <name val="Calibri"/>
      <family val="2"/>
    </font>
    <font>
      <sz val="10"/>
      <color rgb="FF000000"/>
      <name val="Calibri"/>
      <family val="2"/>
    </font>
    <font>
      <b/>
      <sz val="11"/>
      <color theme="1"/>
      <name val="Calibri"/>
      <family val="2"/>
      <scheme val="minor"/>
    </font>
    <font>
      <b/>
      <sz val="11"/>
      <name val="Calibri"/>
      <family val="2"/>
      <scheme val="minor"/>
    </font>
    <font>
      <b/>
      <sz val="10"/>
      <name val="Calibri"/>
      <family val="2"/>
      <scheme val="minor"/>
    </font>
    <font>
      <sz val="10"/>
      <name val="Calibri"/>
      <family val="2"/>
      <scheme val="minor"/>
    </font>
    <font>
      <sz val="10"/>
      <color theme="1"/>
      <name val="Calibri"/>
      <family val="2"/>
      <scheme val="minor"/>
    </font>
    <font>
      <b/>
      <sz val="10"/>
      <color rgb="FF000000"/>
      <name val="Calibri"/>
      <family val="2"/>
    </font>
    <font>
      <b/>
      <sz val="10"/>
      <name val="Calibri"/>
      <family val="2"/>
    </font>
  </fonts>
  <fills count="16">
    <fill>
      <patternFill patternType="none"/>
    </fill>
    <fill>
      <patternFill patternType="gray125"/>
    </fill>
    <fill>
      <patternFill patternType="solid">
        <fgColor rgb="FFFF0000"/>
      </patternFill>
    </fill>
    <fill>
      <patternFill patternType="solid">
        <fgColor rgb="FFFF7B00"/>
      </patternFill>
    </fill>
    <fill>
      <patternFill patternType="solid">
        <fgColor rgb="FFFFFF00"/>
      </patternFill>
    </fill>
    <fill>
      <patternFill patternType="solid">
        <fgColor rgb="FF92D050"/>
      </patternFill>
    </fill>
    <fill>
      <patternFill patternType="solid">
        <fgColor theme="0" tint="-0.249977111117893"/>
        <bgColor indexed="64"/>
      </patternFill>
    </fill>
    <fill>
      <patternFill patternType="solid">
        <fgColor theme="0" tint="-4.9989318521683403E-2"/>
        <bgColor indexed="64"/>
      </patternFill>
    </fill>
    <fill>
      <patternFill patternType="solid">
        <fgColor theme="0"/>
        <bgColor indexed="64"/>
      </patternFill>
    </fill>
    <fill>
      <patternFill patternType="solid">
        <fgColor rgb="FFFF7C80"/>
        <bgColor indexed="64"/>
      </patternFill>
    </fill>
    <fill>
      <patternFill patternType="solid">
        <fgColor rgb="FFFFC997"/>
        <bgColor indexed="64"/>
      </patternFill>
    </fill>
    <fill>
      <patternFill patternType="solid">
        <fgColor rgb="FFFFFFCC"/>
        <bgColor indexed="64"/>
      </patternFill>
    </fill>
    <fill>
      <patternFill patternType="solid">
        <fgColor theme="0" tint="-0.14999847407452621"/>
        <bgColor indexed="64"/>
      </patternFill>
    </fill>
    <fill>
      <patternFill patternType="solid">
        <fgColor rgb="FFFFFFFF"/>
      </patternFill>
    </fill>
    <fill>
      <patternFill patternType="solid">
        <fgColor theme="6" tint="0.59999389629810485"/>
        <bgColor indexed="64"/>
      </patternFill>
    </fill>
    <fill>
      <patternFill patternType="solid">
        <fgColor theme="4" tint="0.59999389629810485"/>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50">
    <xf numFmtId="0" fontId="0" fillId="0" borderId="0" xfId="0"/>
    <xf numFmtId="0" fontId="2" fillId="0" borderId="1" xfId="0" applyFont="1" applyBorder="1" applyAlignment="1">
      <alignment vertical="center"/>
    </xf>
    <xf numFmtId="0" fontId="1" fillId="3"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7" borderId="1" xfId="0" applyFont="1" applyFill="1" applyBorder="1" applyAlignment="1">
      <alignment vertical="center"/>
    </xf>
    <xf numFmtId="0" fontId="7" fillId="8" borderId="0" xfId="0" applyFont="1" applyFill="1" applyAlignment="1">
      <alignment vertical="center"/>
    </xf>
    <xf numFmtId="0" fontId="7" fillId="8" borderId="0" xfId="0" applyFont="1" applyFill="1" applyAlignment="1">
      <alignment horizontal="center" vertical="center"/>
    </xf>
    <xf numFmtId="0" fontId="7" fillId="7" borderId="2" xfId="0" applyFont="1" applyFill="1" applyBorder="1" applyAlignment="1">
      <alignment vertical="center"/>
    </xf>
    <xf numFmtId="0" fontId="7" fillId="8" borderId="2" xfId="0" applyFont="1" applyFill="1" applyBorder="1" applyAlignment="1">
      <alignment horizontal="center" vertical="center"/>
    </xf>
    <xf numFmtId="0" fontId="3" fillId="7" borderId="2" xfId="0" applyFont="1" applyFill="1" applyBorder="1" applyAlignment="1">
      <alignment vertical="center"/>
    </xf>
    <xf numFmtId="0" fontId="3" fillId="9" borderId="2" xfId="0" applyFont="1" applyFill="1" applyBorder="1" applyAlignment="1">
      <alignment horizontal="center" vertical="center"/>
    </xf>
    <xf numFmtId="0" fontId="3" fillId="8" borderId="2" xfId="0" applyFont="1" applyFill="1" applyBorder="1" applyAlignment="1">
      <alignment horizontal="center" vertical="center"/>
    </xf>
    <xf numFmtId="0" fontId="3" fillId="10" borderId="2" xfId="0" applyFont="1" applyFill="1" applyBorder="1" applyAlignment="1">
      <alignment horizontal="center" vertical="center"/>
    </xf>
    <xf numFmtId="0" fontId="3" fillId="11" borderId="2" xfId="0" applyFont="1" applyFill="1" applyBorder="1" applyAlignment="1">
      <alignment horizontal="center" vertical="center"/>
    </xf>
    <xf numFmtId="0" fontId="7" fillId="7" borderId="1" xfId="0" applyFont="1" applyFill="1" applyBorder="1" applyAlignment="1">
      <alignment horizontal="center" vertical="center" wrapText="1"/>
    </xf>
    <xf numFmtId="0" fontId="12" fillId="7" borderId="2" xfId="0" applyFont="1" applyFill="1" applyBorder="1"/>
    <xf numFmtId="0" fontId="13" fillId="13" borderId="2" xfId="0" applyFont="1" applyFill="1" applyBorder="1"/>
    <xf numFmtId="0" fontId="14" fillId="0" borderId="2" xfId="0" applyFont="1" applyBorder="1"/>
    <xf numFmtId="0" fontId="11" fillId="7" borderId="2" xfId="0" applyFont="1" applyFill="1" applyBorder="1" applyAlignment="1">
      <alignment horizontal="center" vertical="center" wrapText="1"/>
    </xf>
    <xf numFmtId="0" fontId="3" fillId="14" borderId="2" xfId="0" applyFont="1" applyFill="1" applyBorder="1" applyAlignment="1">
      <alignment horizontal="center" vertical="center"/>
    </xf>
    <xf numFmtId="0" fontId="12" fillId="9" borderId="2" xfId="0" applyFont="1" applyFill="1" applyBorder="1" applyAlignment="1">
      <alignment horizontal="center"/>
    </xf>
    <xf numFmtId="0" fontId="12" fillId="10" borderId="2" xfId="0" applyFont="1" applyFill="1" applyBorder="1" applyAlignment="1">
      <alignment horizontal="center"/>
    </xf>
    <xf numFmtId="0" fontId="12" fillId="11" borderId="2" xfId="0" applyFont="1" applyFill="1" applyBorder="1" applyAlignment="1">
      <alignment horizontal="center"/>
    </xf>
    <xf numFmtId="0" fontId="12" fillId="14" borderId="2" xfId="0" applyFont="1" applyFill="1" applyBorder="1" applyAlignment="1">
      <alignment horizontal="center"/>
    </xf>
    <xf numFmtId="0" fontId="16" fillId="2" borderId="1" xfId="0" applyFont="1" applyFill="1" applyBorder="1" applyAlignment="1">
      <alignment horizontal="center" vertical="center" wrapText="1"/>
    </xf>
    <xf numFmtId="0" fontId="12" fillId="12" borderId="2" xfId="0" applyFont="1" applyFill="1" applyBorder="1" applyAlignment="1">
      <alignment horizontal="center"/>
    </xf>
    <xf numFmtId="0" fontId="12" fillId="15" borderId="2" xfId="0" applyFont="1" applyFill="1" applyBorder="1" applyAlignment="1">
      <alignment horizontal="center"/>
    </xf>
    <xf numFmtId="0" fontId="4" fillId="8" borderId="1" xfId="0" applyFont="1" applyFill="1" applyBorder="1" applyAlignment="1">
      <alignment horizontal="center" vertical="center" wrapText="1"/>
    </xf>
    <xf numFmtId="0" fontId="4" fillId="8" borderId="1" xfId="0" applyFont="1" applyFill="1" applyBorder="1" applyAlignment="1">
      <alignment horizontal="left" vertical="center" wrapText="1"/>
    </xf>
    <xf numFmtId="0" fontId="3" fillId="8" borderId="1" xfId="0" applyFont="1" applyFill="1" applyBorder="1" applyAlignment="1">
      <alignment horizontal="left" vertical="center" wrapText="1"/>
    </xf>
    <xf numFmtId="0" fontId="9" fillId="8" borderId="1" xfId="0" applyFont="1" applyFill="1" applyBorder="1" applyAlignment="1">
      <alignment horizontal="left" vertical="center" wrapText="1"/>
    </xf>
    <xf numFmtId="0" fontId="9" fillId="8" borderId="1" xfId="0" applyFont="1" applyFill="1" applyBorder="1" applyAlignment="1">
      <alignment horizontal="center" vertical="center" wrapText="1"/>
    </xf>
    <xf numFmtId="0" fontId="15" fillId="8" borderId="1" xfId="0" applyFont="1" applyFill="1" applyBorder="1" applyAlignment="1">
      <alignment horizontal="left" vertical="center" wrapText="1"/>
    </xf>
    <xf numFmtId="0" fontId="16" fillId="3" borderId="1" xfId="0" applyFont="1" applyFill="1" applyBorder="1" applyAlignment="1">
      <alignment horizontal="center" vertical="center" wrapText="1"/>
    </xf>
    <xf numFmtId="0" fontId="15" fillId="3" borderId="1" xfId="0" applyFont="1" applyFill="1" applyBorder="1" applyAlignment="1">
      <alignment horizontal="center" vertical="center" wrapText="1"/>
    </xf>
    <xf numFmtId="0" fontId="15" fillId="5" borderId="1" xfId="0" applyFont="1" applyFill="1" applyBorder="1" applyAlignment="1">
      <alignment horizontal="center" vertical="center" wrapText="1"/>
    </xf>
    <xf numFmtId="0" fontId="8" fillId="12" borderId="0" xfId="0" applyFont="1" applyFill="1" applyAlignment="1">
      <alignment horizontal="center" vertical="center"/>
    </xf>
    <xf numFmtId="0" fontId="0" fillId="12" borderId="0" xfId="0" applyFill="1"/>
    <xf numFmtId="0" fontId="6" fillId="6" borderId="2" xfId="0" applyFont="1" applyFill="1" applyBorder="1" applyAlignment="1">
      <alignment horizontal="center" vertical="center"/>
    </xf>
    <xf numFmtId="0" fontId="0" fillId="6" borderId="2" xfId="0" applyFill="1" applyBorder="1" applyAlignment="1">
      <alignment horizontal="center"/>
    </xf>
    <xf numFmtId="0" fontId="5" fillId="6" borderId="0" xfId="0" applyFont="1" applyFill="1" applyAlignment="1">
      <alignment horizontal="center" vertical="center"/>
    </xf>
    <xf numFmtId="0" fontId="0" fillId="6" borderId="0" xfId="0" applyFill="1"/>
    <xf numFmtId="0" fontId="10" fillId="12" borderId="2" xfId="0" applyFont="1" applyFill="1" applyBorder="1" applyAlignment="1">
      <alignment horizontal="center"/>
    </xf>
    <xf numFmtId="0" fontId="0" fillId="12" borderId="2" xfId="0" applyFill="1" applyBorder="1" applyAlignment="1">
      <alignment horizontal="center"/>
    </xf>
    <xf numFmtId="0" fontId="10" fillId="12" borderId="3" xfId="0" applyFont="1" applyFill="1" applyBorder="1" applyAlignment="1">
      <alignment horizontal="center"/>
    </xf>
    <xf numFmtId="0" fontId="10" fillId="12" borderId="4" xfId="0" applyFont="1" applyFill="1" applyBorder="1" applyAlignment="1">
      <alignment horizontal="center"/>
    </xf>
  </cellXfs>
  <cellStyles count="1">
    <cellStyle name="Normal" xfId="0" builtinId="0"/>
  </cellStyles>
  <dxfs count="18">
    <dxf>
      <fill>
        <patternFill>
          <bgColor theme="9" tint="0.39994506668294322"/>
        </patternFill>
      </fill>
    </dxf>
    <dxf>
      <fill>
        <patternFill>
          <bgColor rgb="FFFFFF99"/>
        </patternFill>
      </fill>
    </dxf>
    <dxf>
      <fill>
        <patternFill>
          <bgColor theme="4" tint="0.59996337778862885"/>
        </patternFill>
      </fill>
    </dxf>
    <dxf>
      <fill>
        <patternFill>
          <bgColor theme="0" tint="-0.14996795556505021"/>
        </patternFill>
      </fill>
    </dxf>
    <dxf>
      <fill>
        <patternFill>
          <bgColor theme="9" tint="0.39994506668294322"/>
        </patternFill>
      </fill>
    </dxf>
    <dxf>
      <fill>
        <patternFill>
          <bgColor rgb="FFFFFF99"/>
        </patternFill>
      </fill>
    </dxf>
    <dxf>
      <fill>
        <patternFill>
          <bgColor theme="4" tint="0.59996337778862885"/>
        </patternFill>
      </fill>
    </dxf>
    <dxf>
      <fill>
        <patternFill>
          <bgColor theme="0" tint="-0.14996795556505021"/>
        </patternFill>
      </fill>
    </dxf>
    <dxf>
      <fill>
        <patternFill>
          <bgColor rgb="FFFF7C80"/>
        </patternFill>
      </fill>
    </dxf>
    <dxf>
      <fill>
        <patternFill>
          <bgColor rgb="FFFF7C80"/>
        </patternFill>
      </fill>
    </dxf>
    <dxf>
      <fill>
        <patternFill>
          <bgColor rgb="FFFFFF99"/>
        </patternFill>
      </fill>
    </dxf>
    <dxf>
      <fill>
        <patternFill>
          <bgColor theme="6" tint="0.39994506668294322"/>
        </patternFill>
      </fill>
    </dxf>
    <dxf>
      <fill>
        <patternFill>
          <bgColor rgb="FFFFFF99"/>
        </patternFill>
      </fill>
    </dxf>
    <dxf>
      <fill>
        <patternFill>
          <bgColor theme="6" tint="0.39994506668294322"/>
        </patternFill>
      </fill>
    </dxf>
    <dxf>
      <fill>
        <patternFill>
          <bgColor rgb="FFFF7C80"/>
        </patternFill>
      </fill>
    </dxf>
    <dxf>
      <fill>
        <patternFill>
          <bgColor rgb="FFFF9933"/>
        </patternFill>
      </fill>
    </dxf>
    <dxf>
      <fill>
        <patternFill>
          <bgColor rgb="FFFF7C80"/>
        </patternFill>
      </fill>
    </dxf>
    <dxf>
      <fill>
        <patternFill>
          <bgColor rgb="FFFF9933"/>
        </patternFill>
      </fill>
    </dxf>
  </dxfs>
  <tableStyles count="0" defaultTableStyle="TableStyleMedium9" defaultPivotStyle="PivotStyleLight16"/>
  <colors>
    <mruColors>
      <color rgb="FFFFFF99"/>
      <color rgb="FFFF7C80"/>
      <color rgb="FFFF9999"/>
      <color rgb="FFFF9933"/>
      <color rgb="FFFFCC66"/>
      <color rgb="FFFFC997"/>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0"/>
  <sheetViews>
    <sheetView zoomScale="115" zoomScaleNormal="115" workbookViewId="0">
      <selection activeCell="M8" sqref="M8"/>
    </sheetView>
  </sheetViews>
  <sheetFormatPr defaultRowHeight="14.5" x14ac:dyDescent="0.35"/>
  <cols>
    <col min="1" max="1" width="25" customWidth="1"/>
    <col min="2" max="2" width="40" customWidth="1"/>
  </cols>
  <sheetData>
    <row r="1" spans="1:2" ht="30.5" customHeight="1" x14ac:dyDescent="0.35">
      <c r="A1" s="44" t="s">
        <v>0</v>
      </c>
      <c r="B1" s="45"/>
    </row>
    <row r="2" spans="1:2" x14ac:dyDescent="0.35">
      <c r="A2" s="8" t="s">
        <v>1</v>
      </c>
      <c r="B2" s="1" t="s">
        <v>2</v>
      </c>
    </row>
    <row r="3" spans="1:2" x14ac:dyDescent="0.35">
      <c r="A3" s="8" t="s">
        <v>3</v>
      </c>
      <c r="B3" s="1" t="s">
        <v>4</v>
      </c>
    </row>
    <row r="4" spans="1:2" x14ac:dyDescent="0.35">
      <c r="A4" s="8" t="s">
        <v>5</v>
      </c>
      <c r="B4" s="1" t="s">
        <v>6</v>
      </c>
    </row>
    <row r="5" spans="1:2" x14ac:dyDescent="0.35">
      <c r="A5" s="8" t="s">
        <v>7</v>
      </c>
      <c r="B5" s="1" t="s">
        <v>8</v>
      </c>
    </row>
    <row r="6" spans="1:2" x14ac:dyDescent="0.35">
      <c r="A6" s="8" t="s">
        <v>9</v>
      </c>
      <c r="B6" s="1" t="s">
        <v>10</v>
      </c>
    </row>
    <row r="7" spans="1:2" x14ac:dyDescent="0.35">
      <c r="A7" s="8" t="s">
        <v>11</v>
      </c>
      <c r="B7" s="1" t="s">
        <v>12</v>
      </c>
    </row>
    <row r="9" spans="1:2" ht="20" customHeight="1" x14ac:dyDescent="0.35">
      <c r="A9" s="42" t="s">
        <v>13</v>
      </c>
      <c r="B9" s="43"/>
    </row>
    <row r="10" spans="1:2" x14ac:dyDescent="0.35">
      <c r="A10" s="11" t="s">
        <v>14</v>
      </c>
      <c r="B10" s="12">
        <f>COUNT('Bug Report'!A:M)</f>
        <v>7</v>
      </c>
    </row>
    <row r="11" spans="1:2" x14ac:dyDescent="0.35">
      <c r="A11" s="13" t="s">
        <v>15</v>
      </c>
      <c r="B11" s="14">
        <f>COUNTIF('Bug Report'!$I:$I,"CRITICAL")</f>
        <v>2</v>
      </c>
    </row>
    <row r="12" spans="1:2" x14ac:dyDescent="0.35">
      <c r="A12" s="13" t="s">
        <v>16</v>
      </c>
      <c r="B12" s="16">
        <f>COUNTIF('Bug Report'!$I:$I,"HIGH")</f>
        <v>2</v>
      </c>
    </row>
    <row r="13" spans="1:2" x14ac:dyDescent="0.35">
      <c r="A13" s="13" t="s">
        <v>17</v>
      </c>
      <c r="B13" s="17">
        <f>COUNTIF('Bug Report'!$I:$I,"MEDIUM")</f>
        <v>1</v>
      </c>
    </row>
    <row r="14" spans="1:2" x14ac:dyDescent="0.35">
      <c r="A14" s="13" t="s">
        <v>18</v>
      </c>
      <c r="B14" s="23">
        <f>COUNTIF('Bug Report'!$I:$I,"LOW")</f>
        <v>2</v>
      </c>
    </row>
    <row r="15" spans="1:2" x14ac:dyDescent="0.35">
      <c r="A15" s="9"/>
      <c r="B15" s="10"/>
    </row>
    <row r="16" spans="1:2" ht="19.5" customHeight="1" x14ac:dyDescent="0.35">
      <c r="A16" s="42" t="s">
        <v>83</v>
      </c>
      <c r="B16" s="43"/>
    </row>
    <row r="17" spans="1:2" x14ac:dyDescent="0.35">
      <c r="A17" s="13" t="s">
        <v>19</v>
      </c>
      <c r="B17" s="15">
        <f>COUNTIF('Bug Report'!$M:$M,"Open")</f>
        <v>7</v>
      </c>
    </row>
    <row r="18" spans="1:2" x14ac:dyDescent="0.35">
      <c r="A18" s="13" t="s">
        <v>20</v>
      </c>
      <c r="B18" s="15">
        <f>COUNTIF('Bug Report'!$M:$M,"In Progress")</f>
        <v>0</v>
      </c>
    </row>
    <row r="19" spans="1:2" x14ac:dyDescent="0.35">
      <c r="A19" s="13" t="s">
        <v>21</v>
      </c>
      <c r="B19" s="15">
        <f>COUNTIF('Bug Report'!$M:$M,"Fixed")</f>
        <v>0</v>
      </c>
    </row>
    <row r="20" spans="1:2" x14ac:dyDescent="0.35">
      <c r="A20" s="13" t="s">
        <v>22</v>
      </c>
      <c r="B20" s="15">
        <f>COUNTIF('Bug Report'!$M:$M,"Closed")</f>
        <v>0</v>
      </c>
    </row>
  </sheetData>
  <mergeCells count="3">
    <mergeCell ref="A9:B9"/>
    <mergeCell ref="A1:B1"/>
    <mergeCell ref="A16:B16"/>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9"/>
  <sheetViews>
    <sheetView tabSelected="1" zoomScale="85" zoomScaleNormal="85" workbookViewId="0">
      <pane ySplit="2" topLeftCell="A5" activePane="bottomLeft" state="frozen"/>
      <selection pane="bottomLeft" activeCell="D8" sqref="D8"/>
    </sheetView>
  </sheetViews>
  <sheetFormatPr defaultRowHeight="14.5" x14ac:dyDescent="0.35"/>
  <cols>
    <col min="1" max="1" width="10" customWidth="1"/>
    <col min="2" max="2" width="15" customWidth="1"/>
    <col min="3" max="3" width="20" customWidth="1"/>
    <col min="4" max="4" width="30" customWidth="1"/>
    <col min="5" max="5" width="40" customWidth="1"/>
    <col min="6" max="6" width="25" customWidth="1"/>
    <col min="7" max="8" width="35" customWidth="1"/>
    <col min="9" max="10" width="12" customWidth="1"/>
    <col min="11" max="12" width="20" customWidth="1"/>
    <col min="13" max="13" width="12" customWidth="1"/>
  </cols>
  <sheetData>
    <row r="1" spans="1:13" ht="25" customHeight="1" x14ac:dyDescent="0.35">
      <c r="A1" s="40" t="s">
        <v>0</v>
      </c>
      <c r="B1" s="41"/>
      <c r="C1" s="41"/>
      <c r="D1" s="41"/>
      <c r="E1" s="41"/>
      <c r="F1" s="41"/>
      <c r="G1" s="41"/>
      <c r="H1" s="41"/>
      <c r="I1" s="41"/>
      <c r="J1" s="41"/>
      <c r="K1" s="41"/>
      <c r="L1" s="41"/>
      <c r="M1" s="41"/>
    </row>
    <row r="2" spans="1:13" ht="30" customHeight="1" x14ac:dyDescent="0.35">
      <c r="A2" s="18" t="s">
        <v>23</v>
      </c>
      <c r="B2" s="18" t="s">
        <v>24</v>
      </c>
      <c r="C2" s="18" t="s">
        <v>25</v>
      </c>
      <c r="D2" s="18" t="s">
        <v>26</v>
      </c>
      <c r="E2" s="18" t="s">
        <v>27</v>
      </c>
      <c r="F2" s="18" t="s">
        <v>28</v>
      </c>
      <c r="G2" s="18" t="s">
        <v>29</v>
      </c>
      <c r="H2" s="18" t="s">
        <v>30</v>
      </c>
      <c r="I2" s="18" t="s">
        <v>31</v>
      </c>
      <c r="J2" s="18" t="s">
        <v>32</v>
      </c>
      <c r="K2" s="18" t="s">
        <v>33</v>
      </c>
      <c r="L2" s="18" t="s">
        <v>84</v>
      </c>
      <c r="M2" s="18" t="s">
        <v>34</v>
      </c>
    </row>
    <row r="3" spans="1:13" ht="132.5" customHeight="1" x14ac:dyDescent="0.35">
      <c r="A3" s="31">
        <v>1</v>
      </c>
      <c r="B3" s="31" t="s">
        <v>35</v>
      </c>
      <c r="C3" s="32" t="s">
        <v>36</v>
      </c>
      <c r="D3" s="33" t="s">
        <v>37</v>
      </c>
      <c r="E3" s="32" t="s">
        <v>38</v>
      </c>
      <c r="F3" s="32" t="s">
        <v>39</v>
      </c>
      <c r="G3" s="32" t="s">
        <v>40</v>
      </c>
      <c r="H3" s="32" t="s">
        <v>41</v>
      </c>
      <c r="I3" s="28" t="s">
        <v>42</v>
      </c>
      <c r="J3" s="2" t="s">
        <v>43</v>
      </c>
      <c r="K3" s="35" t="s">
        <v>125</v>
      </c>
      <c r="L3" s="35" t="s">
        <v>85</v>
      </c>
      <c r="M3" s="3" t="s">
        <v>19</v>
      </c>
    </row>
    <row r="4" spans="1:13" ht="108" customHeight="1" x14ac:dyDescent="0.35">
      <c r="A4" s="31">
        <v>2</v>
      </c>
      <c r="B4" s="31" t="s">
        <v>44</v>
      </c>
      <c r="C4" s="32" t="s">
        <v>45</v>
      </c>
      <c r="D4" s="33" t="s">
        <v>46</v>
      </c>
      <c r="E4" s="32" t="s">
        <v>47</v>
      </c>
      <c r="F4" s="32" t="s">
        <v>48</v>
      </c>
      <c r="G4" s="32" t="s">
        <v>49</v>
      </c>
      <c r="H4" s="32" t="s">
        <v>50</v>
      </c>
      <c r="I4" s="4" t="s">
        <v>42</v>
      </c>
      <c r="J4" s="5" t="s">
        <v>51</v>
      </c>
      <c r="K4" s="31" t="s">
        <v>52</v>
      </c>
      <c r="L4" s="35" t="s">
        <v>85</v>
      </c>
      <c r="M4" s="3" t="s">
        <v>19</v>
      </c>
    </row>
    <row r="5" spans="1:13" ht="80" customHeight="1" x14ac:dyDescent="0.35">
      <c r="A5" s="31">
        <v>3</v>
      </c>
      <c r="B5" s="31" t="s">
        <v>53</v>
      </c>
      <c r="C5" s="32" t="s">
        <v>54</v>
      </c>
      <c r="D5" s="33" t="s">
        <v>55</v>
      </c>
      <c r="E5" s="32" t="s">
        <v>56</v>
      </c>
      <c r="F5" s="32" t="s">
        <v>57</v>
      </c>
      <c r="G5" s="32" t="s">
        <v>58</v>
      </c>
      <c r="H5" s="32" t="s">
        <v>59</v>
      </c>
      <c r="I5" s="4" t="s">
        <v>51</v>
      </c>
      <c r="J5" s="5" t="s">
        <v>51</v>
      </c>
      <c r="K5" s="31" t="s">
        <v>60</v>
      </c>
      <c r="L5" s="35" t="s">
        <v>85</v>
      </c>
      <c r="M5" s="3" t="s">
        <v>19</v>
      </c>
    </row>
    <row r="6" spans="1:13" ht="80" customHeight="1" x14ac:dyDescent="0.35">
      <c r="A6" s="31">
        <v>4</v>
      </c>
      <c r="B6" s="31" t="s">
        <v>61</v>
      </c>
      <c r="C6" s="32" t="s">
        <v>62</v>
      </c>
      <c r="D6" s="33" t="s">
        <v>63</v>
      </c>
      <c r="E6" s="32" t="s">
        <v>64</v>
      </c>
      <c r="F6" s="32" t="s">
        <v>65</v>
      </c>
      <c r="G6" s="32" t="s">
        <v>66</v>
      </c>
      <c r="H6" s="34" t="s">
        <v>67</v>
      </c>
      <c r="I6" s="6" t="s">
        <v>43</v>
      </c>
      <c r="J6" s="2" t="s">
        <v>43</v>
      </c>
      <c r="K6" s="35" t="s">
        <v>126</v>
      </c>
      <c r="L6" s="35" t="s">
        <v>85</v>
      </c>
      <c r="M6" s="3" t="s">
        <v>19</v>
      </c>
    </row>
    <row r="7" spans="1:13" ht="80" customHeight="1" x14ac:dyDescent="0.35">
      <c r="A7" s="31">
        <v>5</v>
      </c>
      <c r="B7" s="31" t="s">
        <v>68</v>
      </c>
      <c r="C7" s="32" t="s">
        <v>62</v>
      </c>
      <c r="D7" s="36" t="s">
        <v>123</v>
      </c>
      <c r="E7" s="34" t="s">
        <v>119</v>
      </c>
      <c r="F7" s="34" t="s">
        <v>124</v>
      </c>
      <c r="G7" s="34" t="s">
        <v>120</v>
      </c>
      <c r="H7" s="34" t="s">
        <v>121</v>
      </c>
      <c r="I7" s="6" t="s">
        <v>74</v>
      </c>
      <c r="J7" s="37" t="s">
        <v>74</v>
      </c>
      <c r="K7" s="35" t="s">
        <v>122</v>
      </c>
      <c r="L7" s="35" t="s">
        <v>85</v>
      </c>
      <c r="M7" s="3" t="s">
        <v>19</v>
      </c>
    </row>
    <row r="8" spans="1:13" ht="104" customHeight="1" x14ac:dyDescent="0.35">
      <c r="A8" s="31">
        <v>6</v>
      </c>
      <c r="B8" s="35" t="s">
        <v>76</v>
      </c>
      <c r="C8" s="32" t="s">
        <v>62</v>
      </c>
      <c r="D8" s="33" t="s">
        <v>69</v>
      </c>
      <c r="E8" s="34" t="s">
        <v>70</v>
      </c>
      <c r="F8" s="32" t="s">
        <v>71</v>
      </c>
      <c r="G8" s="32" t="s">
        <v>72</v>
      </c>
      <c r="H8" s="32" t="s">
        <v>73</v>
      </c>
      <c r="I8" s="39" t="s">
        <v>74</v>
      </c>
      <c r="J8" s="7" t="s">
        <v>74</v>
      </c>
      <c r="K8" s="35" t="s">
        <v>75</v>
      </c>
      <c r="L8" s="35" t="s">
        <v>85</v>
      </c>
      <c r="M8" s="3" t="s">
        <v>19</v>
      </c>
    </row>
    <row r="9" spans="1:13" ht="104" customHeight="1" x14ac:dyDescent="0.35">
      <c r="A9" s="31">
        <v>7</v>
      </c>
      <c r="B9" s="35" t="s">
        <v>118</v>
      </c>
      <c r="C9" s="32" t="s">
        <v>45</v>
      </c>
      <c r="D9" s="33" t="s">
        <v>77</v>
      </c>
      <c r="E9" s="32" t="s">
        <v>78</v>
      </c>
      <c r="F9" s="34" t="s">
        <v>79</v>
      </c>
      <c r="G9" s="32" t="s">
        <v>80</v>
      </c>
      <c r="H9" s="34" t="s">
        <v>81</v>
      </c>
      <c r="I9" s="38" t="s">
        <v>43</v>
      </c>
      <c r="J9" s="37" t="s">
        <v>43</v>
      </c>
      <c r="K9" s="31" t="s">
        <v>82</v>
      </c>
      <c r="L9" s="35" t="s">
        <v>85</v>
      </c>
      <c r="M9" s="3" t="s">
        <v>19</v>
      </c>
    </row>
  </sheetData>
  <mergeCells count="1">
    <mergeCell ref="A1:M1"/>
  </mergeCells>
  <conditionalFormatting sqref="I1:I11 I13:I1048576">
    <cfRule type="cellIs" dxfId="17" priority="21" stopIfTrue="1" operator="equal">
      <formula>"HIGH"</formula>
    </cfRule>
    <cfRule type="cellIs" dxfId="16" priority="22" stopIfTrue="1" operator="equal">
      <formula>"CRITICAL"</formula>
    </cfRule>
  </conditionalFormatting>
  <conditionalFormatting sqref="I8">
    <cfRule type="cellIs" dxfId="15" priority="10" stopIfTrue="1" operator="equal">
      <formula>"HIGH"</formula>
    </cfRule>
    <cfRule type="cellIs" dxfId="14" priority="11" stopIfTrue="1" operator="equal">
      <formula>"CRITICAL"</formula>
    </cfRule>
  </conditionalFormatting>
  <conditionalFormatting sqref="I1:J11 I13:J1048576">
    <cfRule type="cellIs" dxfId="13" priority="16" stopIfTrue="1" operator="equal">
      <formula>"LOW"</formula>
    </cfRule>
    <cfRule type="cellIs" dxfId="12" priority="17" stopIfTrue="1" operator="equal">
      <formula>"MEDIUM"</formula>
    </cfRule>
  </conditionalFormatting>
  <conditionalFormatting sqref="I8:J8">
    <cfRule type="cellIs" dxfId="11" priority="5" stopIfTrue="1" operator="equal">
      <formula>"LOW"</formula>
    </cfRule>
    <cfRule type="cellIs" dxfId="10" priority="6" stopIfTrue="1" operator="equal">
      <formula>"MEDIUM"</formula>
    </cfRule>
  </conditionalFormatting>
  <conditionalFormatting sqref="J1:J11 J13:J1048576">
    <cfRule type="cellIs" dxfId="9" priority="18" stopIfTrue="1" operator="equal">
      <formula>"HIGH"</formula>
    </cfRule>
  </conditionalFormatting>
  <conditionalFormatting sqref="J8">
    <cfRule type="cellIs" dxfId="8" priority="7" stopIfTrue="1" operator="equal">
      <formula>"HIGH"</formula>
    </cfRule>
  </conditionalFormatting>
  <conditionalFormatting sqref="M1:M1048576">
    <cfRule type="cellIs" dxfId="7" priority="12" stopIfTrue="1" operator="equal">
      <formula>"Closed"</formula>
    </cfRule>
    <cfRule type="cellIs" dxfId="6" priority="13" stopIfTrue="1" operator="equal">
      <formula>"Fixed"</formula>
    </cfRule>
    <cfRule type="cellIs" dxfId="5" priority="14" stopIfTrue="1" operator="equal">
      <formula>"In Progress"</formula>
    </cfRule>
    <cfRule type="cellIs" dxfId="4" priority="15" stopIfTrue="1" operator="equal">
      <formula>"Open"</formula>
    </cfRule>
  </conditionalFormatting>
  <conditionalFormatting sqref="M8">
    <cfRule type="cellIs" dxfId="3" priority="1" stopIfTrue="1" operator="equal">
      <formula>"Closed"</formula>
    </cfRule>
    <cfRule type="cellIs" dxfId="2" priority="2" stopIfTrue="1" operator="equal">
      <formula>"Fixed"</formula>
    </cfRule>
    <cfRule type="cellIs" dxfId="1" priority="3" stopIfTrue="1" operator="equal">
      <formula>"In Progress"</formula>
    </cfRule>
    <cfRule type="cellIs" dxfId="0" priority="4" stopIfTrue="1" operator="equal">
      <formula>"Open"</formula>
    </cfRule>
  </conditionalFormatting>
  <pageMargins left="0.75" right="0.75" top="1" bottom="1" header="0.5" footer="0.5"/>
  <extLst>
    <ext xmlns:x14="http://schemas.microsoft.com/office/spreadsheetml/2009/9/main" uri="{CCE6A557-97BC-4b89-ADB6-D9C93CAAB3DF}">
      <x14:dataValidations xmlns:xm="http://schemas.microsoft.com/office/excel/2006/main" count="3">
        <x14:dataValidation type="list" allowBlank="1" showInputMessage="1" showErrorMessage="1" xr:uid="{DED99023-8D58-4271-B249-3E817368B044}">
          <x14:formula1>
            <xm:f>Guide!$A$17:$A$20</xm:f>
          </x14:formula1>
          <xm:sqref>I8 I13:I1048576 I3:I11</xm:sqref>
        </x14:dataValidation>
        <x14:dataValidation type="list" allowBlank="1" showInputMessage="1" showErrorMessage="1" xr:uid="{FEEAE08C-5F24-49EE-951F-1FF7318D6EC6}">
          <x14:formula1>
            <xm:f>Guide!$A$30:$A$33</xm:f>
          </x14:formula1>
          <xm:sqref>M1 M8 M3:M1048576</xm:sqref>
        </x14:dataValidation>
        <x14:dataValidation type="list" allowBlank="1" showInputMessage="1" showErrorMessage="1" xr:uid="{9B9B0CEA-1F41-4DCB-B8C4-1F3628B98244}">
          <x14:formula1>
            <xm:f>Guide!$A$24:$A$26</xm:f>
          </x14:formula1>
          <xm:sqref>J1 J8 J13:J1048576 J3:J11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1A6B3-240C-4502-AE1E-184460129D77}">
  <dimension ref="A1:C33"/>
  <sheetViews>
    <sheetView workbookViewId="0">
      <selection activeCell="C32" sqref="C32"/>
    </sheetView>
  </sheetViews>
  <sheetFormatPr defaultRowHeight="14.5" x14ac:dyDescent="0.35"/>
  <cols>
    <col min="1" max="1" width="18.36328125" customWidth="1"/>
    <col min="2" max="2" width="47.6328125" customWidth="1"/>
    <col min="3" max="3" width="25.54296875" customWidth="1"/>
  </cols>
  <sheetData>
    <row r="1" spans="1:3" x14ac:dyDescent="0.35">
      <c r="A1" s="46" t="s">
        <v>86</v>
      </c>
      <c r="B1" s="47"/>
    </row>
    <row r="2" spans="1:3" x14ac:dyDescent="0.35">
      <c r="A2" s="22" t="s">
        <v>87</v>
      </c>
      <c r="B2" s="22" t="s">
        <v>27</v>
      </c>
    </row>
    <row r="3" spans="1:3" x14ac:dyDescent="0.35">
      <c r="A3" s="19" t="s">
        <v>23</v>
      </c>
      <c r="B3" s="20" t="s">
        <v>89</v>
      </c>
    </row>
    <row r="4" spans="1:3" x14ac:dyDescent="0.35">
      <c r="A4" s="19" t="s">
        <v>24</v>
      </c>
      <c r="B4" s="20" t="s">
        <v>90</v>
      </c>
    </row>
    <row r="5" spans="1:3" x14ac:dyDescent="0.35">
      <c r="A5" s="19" t="s">
        <v>26</v>
      </c>
      <c r="B5" s="20" t="s">
        <v>91</v>
      </c>
    </row>
    <row r="6" spans="1:3" x14ac:dyDescent="0.35">
      <c r="A6" s="19" t="s">
        <v>27</v>
      </c>
      <c r="B6" s="20" t="s">
        <v>92</v>
      </c>
    </row>
    <row r="7" spans="1:3" x14ac:dyDescent="0.35">
      <c r="A7" s="19" t="s">
        <v>28</v>
      </c>
      <c r="B7" s="20" t="s">
        <v>93</v>
      </c>
    </row>
    <row r="8" spans="1:3" x14ac:dyDescent="0.35">
      <c r="A8" s="19" t="s">
        <v>29</v>
      </c>
      <c r="B8" s="20" t="s">
        <v>88</v>
      </c>
    </row>
    <row r="9" spans="1:3" x14ac:dyDescent="0.35">
      <c r="A9" s="19" t="s">
        <v>30</v>
      </c>
      <c r="B9" s="20" t="s">
        <v>94</v>
      </c>
    </row>
    <row r="10" spans="1:3" x14ac:dyDescent="0.35">
      <c r="A10" s="19" t="s">
        <v>31</v>
      </c>
      <c r="B10" s="20" t="s">
        <v>95</v>
      </c>
    </row>
    <row r="11" spans="1:3" x14ac:dyDescent="0.35">
      <c r="A11" s="19" t="s">
        <v>32</v>
      </c>
      <c r="B11" s="20" t="s">
        <v>96</v>
      </c>
    </row>
    <row r="12" spans="1:3" x14ac:dyDescent="0.35">
      <c r="A12" s="19" t="s">
        <v>84</v>
      </c>
      <c r="B12" s="20" t="s">
        <v>97</v>
      </c>
    </row>
    <row r="13" spans="1:3" x14ac:dyDescent="0.35">
      <c r="A13" s="19" t="s">
        <v>34</v>
      </c>
      <c r="B13" s="20" t="s">
        <v>98</v>
      </c>
    </row>
    <row r="15" spans="1:3" x14ac:dyDescent="0.35">
      <c r="A15" s="46" t="s">
        <v>99</v>
      </c>
      <c r="B15" s="46"/>
      <c r="C15" s="46"/>
    </row>
    <row r="16" spans="1:3" x14ac:dyDescent="0.35">
      <c r="A16" s="22" t="s">
        <v>31</v>
      </c>
      <c r="B16" s="22" t="s">
        <v>27</v>
      </c>
      <c r="C16" s="22" t="s">
        <v>100</v>
      </c>
    </row>
    <row r="17" spans="1:3" x14ac:dyDescent="0.35">
      <c r="A17" s="24" t="s">
        <v>42</v>
      </c>
      <c r="B17" s="20" t="s">
        <v>101</v>
      </c>
      <c r="C17" s="21" t="s">
        <v>105</v>
      </c>
    </row>
    <row r="18" spans="1:3" x14ac:dyDescent="0.35">
      <c r="A18" s="25" t="s">
        <v>43</v>
      </c>
      <c r="B18" s="20" t="s">
        <v>102</v>
      </c>
      <c r="C18" s="21" t="s">
        <v>106</v>
      </c>
    </row>
    <row r="19" spans="1:3" x14ac:dyDescent="0.35">
      <c r="A19" s="26" t="s">
        <v>51</v>
      </c>
      <c r="B19" s="20" t="s">
        <v>103</v>
      </c>
      <c r="C19" s="21" t="s">
        <v>107</v>
      </c>
    </row>
    <row r="20" spans="1:3" x14ac:dyDescent="0.35">
      <c r="A20" s="27" t="s">
        <v>74</v>
      </c>
      <c r="B20" s="20" t="s">
        <v>104</v>
      </c>
      <c r="C20" s="21" t="s">
        <v>108</v>
      </c>
    </row>
    <row r="22" spans="1:3" x14ac:dyDescent="0.35">
      <c r="A22" s="48" t="s">
        <v>109</v>
      </c>
      <c r="B22" s="49"/>
    </row>
    <row r="23" spans="1:3" x14ac:dyDescent="0.35">
      <c r="A23" s="22" t="s">
        <v>32</v>
      </c>
      <c r="B23" s="22" t="s">
        <v>27</v>
      </c>
    </row>
    <row r="24" spans="1:3" x14ac:dyDescent="0.35">
      <c r="A24" s="24" t="s">
        <v>43</v>
      </c>
      <c r="B24" s="20" t="s">
        <v>110</v>
      </c>
    </row>
    <row r="25" spans="1:3" x14ac:dyDescent="0.35">
      <c r="A25" s="26" t="s">
        <v>51</v>
      </c>
      <c r="B25" s="20" t="s">
        <v>111</v>
      </c>
    </row>
    <row r="26" spans="1:3" x14ac:dyDescent="0.35">
      <c r="A26" s="27" t="s">
        <v>74</v>
      </c>
      <c r="B26" s="20" t="s">
        <v>112</v>
      </c>
    </row>
    <row r="28" spans="1:3" x14ac:dyDescent="0.35">
      <c r="A28" s="48" t="s">
        <v>113</v>
      </c>
      <c r="B28" s="49"/>
    </row>
    <row r="29" spans="1:3" x14ac:dyDescent="0.35">
      <c r="A29" s="22" t="s">
        <v>34</v>
      </c>
      <c r="B29" s="22" t="s">
        <v>27</v>
      </c>
    </row>
    <row r="30" spans="1:3" x14ac:dyDescent="0.35">
      <c r="A30" s="25" t="s">
        <v>19</v>
      </c>
      <c r="B30" s="20" t="s">
        <v>114</v>
      </c>
    </row>
    <row r="31" spans="1:3" x14ac:dyDescent="0.35">
      <c r="A31" s="26" t="s">
        <v>20</v>
      </c>
      <c r="B31" s="20" t="s">
        <v>115</v>
      </c>
    </row>
    <row r="32" spans="1:3" x14ac:dyDescent="0.35">
      <c r="A32" s="30" t="s">
        <v>21</v>
      </c>
      <c r="B32" s="20" t="s">
        <v>116</v>
      </c>
    </row>
    <row r="33" spans="1:2" x14ac:dyDescent="0.35">
      <c r="A33" s="29" t="s">
        <v>22</v>
      </c>
      <c r="B33" s="20" t="s">
        <v>117</v>
      </c>
    </row>
  </sheetData>
  <mergeCells count="4">
    <mergeCell ref="A1:B1"/>
    <mergeCell ref="A15:C15"/>
    <mergeCell ref="A22:B22"/>
    <mergeCell ref="A28:B2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Bug Report</vt:lpstr>
      <vt:lpstr>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Tấn Nguyễn Hoàng Lâm</cp:lastModifiedBy>
  <dcterms:created xsi:type="dcterms:W3CDTF">2026-06-13T14:53:35Z</dcterms:created>
  <dcterms:modified xsi:type="dcterms:W3CDTF">2026-06-13T16:15:30Z</dcterms:modified>
</cp:coreProperties>
</file>