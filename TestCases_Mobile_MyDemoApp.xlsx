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uTest\MyDemoApp\"/>
    </mc:Choice>
  </mc:AlternateContent>
  <xr:revisionPtr revIDLastSave="0" documentId="13_ncr:1_{99EE3B76-482C-43E9-A668-E93B6E8D02BE}" xr6:coauthVersionLast="47" xr6:coauthVersionMax="47" xr10:uidLastSave="{00000000-0000-0000-0000-000000000000}"/>
  <bookViews>
    <workbookView xWindow="-110" yWindow="-110" windowWidth="22620" windowHeight="13500" xr2:uid="{B62DF45C-0A64-4742-8AE8-6104877A4D00}"/>
  </bookViews>
  <sheets>
    <sheet name="Dashboard" sheetId="6" r:id="rId1"/>
    <sheet name="Mobile-Specific Testing" sheetId="4" r:id="rId2"/>
    <sheet name="Function Testing" sheetId="1" r:id="rId3"/>
    <sheet name="Additional Features Testing" sheetId="3" r:id="rId4"/>
    <sheet name="Test Data" sheetId="5" r:id="rId5"/>
    <sheet name="Guid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6" l="1"/>
  <c r="B15" i="6"/>
  <c r="B14" i="6"/>
  <c r="B13" i="6"/>
  <c r="B12" i="6"/>
  <c r="B11" i="6"/>
</calcChain>
</file>

<file path=xl/sharedStrings.xml><?xml version="1.0" encoding="utf-8"?>
<sst xmlns="http://schemas.openxmlformats.org/spreadsheetml/2006/main" count="1067" uniqueCount="599">
  <si>
    <t>Test Case ID</t>
  </si>
  <si>
    <t>Title</t>
  </si>
  <si>
    <t>Priority</t>
  </si>
  <si>
    <t>Status</t>
  </si>
  <si>
    <t>Remarks</t>
  </si>
  <si>
    <t>Pre-conditions</t>
  </si>
  <si>
    <t>Test Steps</t>
  </si>
  <si>
    <t>Expected Result</t>
  </si>
  <si>
    <t>Actual Result</t>
  </si>
  <si>
    <t>No.</t>
  </si>
  <si>
    <t>Module</t>
  </si>
  <si>
    <t>1. Authentication</t>
  </si>
  <si>
    <t>Authentication</t>
  </si>
  <si>
    <t>TC_AUTH_001</t>
  </si>
  <si>
    <t>TC_AUTH_002</t>
  </si>
  <si>
    <t>TC_AUTH_003</t>
  </si>
  <si>
    <t>TC_AUTH_004</t>
  </si>
  <si>
    <t>TC_AUTH_005</t>
  </si>
  <si>
    <t>TC_AUTH_006</t>
  </si>
  <si>
    <t>PASS</t>
  </si>
  <si>
    <t>FAIL</t>
  </si>
  <si>
    <t>BLOCKED</t>
  </si>
  <si>
    <t>SKIPPED</t>
  </si>
  <si>
    <t>N/A</t>
  </si>
  <si>
    <t>Pre-condition</t>
  </si>
  <si>
    <t>Test case sequence number</t>
  </si>
  <si>
    <t>Application module or feature under test</t>
  </si>
  <si>
    <t>Unique test case identifier (TC_MODULE_XXX)</t>
  </si>
  <si>
    <t>Short summary of the test objective</t>
  </si>
  <si>
    <t>Business or testing priority</t>
  </si>
  <si>
    <t>Required conditions before test execution</t>
  </si>
  <si>
    <t>Detailed execution steps</t>
  </si>
  <si>
    <t>Expected system behavior</t>
  </si>
  <si>
    <t>Actual system behavior during execution</t>
  </si>
  <si>
    <t>Execution result status</t>
  </si>
  <si>
    <t>Additional comments, observations, or defect references</t>
  </si>
  <si>
    <t>Column</t>
  </si>
  <si>
    <t>Description</t>
  </si>
  <si>
    <t>Test case Structure</t>
  </si>
  <si>
    <t>Status Rules</t>
  </si>
  <si>
    <t>Test executed successfully and the result matches the expectation.</t>
  </si>
  <si>
    <t>Test executed but the result does not match the expectation.</t>
  </si>
  <si>
    <t>Test execution is prevented by external issues.</t>
  </si>
  <si>
    <t>Test is intentionally not executed.</t>
  </si>
  <si>
    <t>Test case is not applicable.</t>
  </si>
  <si>
    <t>Priority Rules</t>
  </si>
  <si>
    <t>HIGH</t>
  </si>
  <si>
    <t>MEDIUM</t>
  </si>
  <si>
    <t>Critical functionality or business flow. Failure has a significant impact on users or business operations. Must be tested first.</t>
  </si>
  <si>
    <t>Important functionality, but failure does not completely block the user from using the system.</t>
  </si>
  <si>
    <t>Minor functionality, cosmetic issues, or enhancements with limited business impact.</t>
  </si>
  <si>
    <t>LOW</t>
  </si>
  <si>
    <t>Verify login with valid credentials</t>
  </si>
  <si>
    <t>Verify login with empty username</t>
  </si>
  <si>
    <t>Verify login with empty password</t>
  </si>
  <si>
    <t>Verify login with locked account</t>
  </si>
  <si>
    <t>Verify logout functionality</t>
  </si>
  <si>
    <t>Verify cancel logout functionality</t>
  </si>
  <si>
    <t>2. Product Catalog</t>
  </si>
  <si>
    <t>Product Catalog</t>
  </si>
  <si>
    <t>TC_PRC_001</t>
  </si>
  <si>
    <t>TC_PRC_002</t>
  </si>
  <si>
    <t>TC_PRC_003</t>
  </si>
  <si>
    <t>Verify products are displayed in the catalog</t>
  </si>
  <si>
    <t>Verify sort products by Name - Ascending</t>
  </si>
  <si>
    <t>Verify sort products by Name - Descending</t>
  </si>
  <si>
    <t>Verify sort products by Price - Ascending</t>
  </si>
  <si>
    <t>Products are displayed by Price - Ascending</t>
  </si>
  <si>
    <t>Products are displayed by Name - Descending</t>
  </si>
  <si>
    <t>Products are displayed by Name - Ascending</t>
  </si>
  <si>
    <t>TC_PRC_004</t>
  </si>
  <si>
    <t>TC_PRC_005</t>
  </si>
  <si>
    <t>TC_PRC_006</t>
  </si>
  <si>
    <t>2. Product Detail</t>
  </si>
  <si>
    <t>TC_PRD_001</t>
  </si>
  <si>
    <t>Product Detail</t>
  </si>
  <si>
    <t>1. Tap menu icon (⇧ A-B)
2. Tap Name - Ascending</t>
  </si>
  <si>
    <t>1. Tap menu icon (⇧ A-B)
2. Tap Price - Ascending</t>
  </si>
  <si>
    <t>1. Tap menu icon (⇧ A-B)
2. Tap Name - Descending</t>
  </si>
  <si>
    <t>Verify sort products by Price - Descending</t>
  </si>
  <si>
    <t>1. Tap menu icon (⇧ A-B)
2. Tap Price - Descending</t>
  </si>
  <si>
    <t>Products are displayed by Price - Descending</t>
  </si>
  <si>
    <t>TC_PRD_002</t>
  </si>
  <si>
    <t>Verify product detail displays correct information</t>
  </si>
  <si>
    <t>1. Launch the application</t>
  </si>
  <si>
    <t>1. Tap any product from the catalog.</t>
  </si>
  <si>
    <t>Product name, image, price, rating, color picker, quantity, description is correctly displayed</t>
  </si>
  <si>
    <t>Verify product color selection</t>
  </si>
  <si>
    <t>1. Tap any color option</t>
  </si>
  <si>
    <t>Selected color is highlighted, other colors not selected</t>
  </si>
  <si>
    <t>TC_PRD_003</t>
  </si>
  <si>
    <t>Verify product image does not change when selecting color</t>
  </si>
  <si>
    <t>1. Tap a different color</t>
  </si>
  <si>
    <t>Verify increase quantity using + button</t>
  </si>
  <si>
    <t>TC_PRD_004</t>
  </si>
  <si>
    <t>1. Tap + button</t>
  </si>
  <si>
    <t>Verify decrease quantity using – button</t>
  </si>
  <si>
    <t>TC_PRD_005</t>
  </si>
  <si>
    <t>1. Tap - button</t>
  </si>
  <si>
    <t>Verify quantity cannot go below 1</t>
  </si>
  <si>
    <t>TC_PRD_006</t>
  </si>
  <si>
    <t>Quantity still 1, not reduced to 0</t>
  </si>
  <si>
    <t>Verify Add to Cart button</t>
  </si>
  <si>
    <t xml:space="preserve">Quantity = 0, Add to Cart button disables </t>
  </si>
  <si>
    <t>1. Tap 'Add to Cart'</t>
  </si>
  <si>
    <t>Cart badge increases to 1</t>
  </si>
  <si>
    <t>TC_PRD_007</t>
  </si>
  <si>
    <t>Verify adding same product multiple times</t>
  </si>
  <si>
    <t>1. Tap double 'Add to Cart'</t>
  </si>
  <si>
    <t>Cart badge increases to 2</t>
  </si>
  <si>
    <t>Verify back navigation from Product Detail</t>
  </si>
  <si>
    <t>Verify star rating</t>
  </si>
  <si>
    <t>1. Tap random star rating</t>
  </si>
  <si>
    <t>Star ratings are based on location, displaying rating notifications</t>
  </si>
  <si>
    <t>TC_PRD_008</t>
  </si>
  <si>
    <t>TC_PRD_009</t>
  </si>
  <si>
    <t>TC_PRD_010</t>
  </si>
  <si>
    <t xml:space="preserve">1. Tap device's back button </t>
  </si>
  <si>
    <t>Verify products at bottom of list are tappable</t>
  </si>
  <si>
    <t>TC_PRC_007</t>
  </si>
  <si>
    <t>TC_PRC_008</t>
  </si>
  <si>
    <t>TC_PRC_009</t>
  </si>
  <si>
    <t>Verify app does not crash when tapping products repeatedly</t>
  </si>
  <si>
    <t>Verify sort order resets or persists after navigating back</t>
  </si>
  <si>
    <t>1. Scroll to the bottom.
2. Tap any product at the bottom of the list.</t>
  </si>
  <si>
    <t>Verify products at top of list are tappable</t>
  </si>
  <si>
    <t>1. Tap any product at the top of the list.</t>
  </si>
  <si>
    <t>The Product information is displayed correctly.</t>
  </si>
  <si>
    <t>The product at the bottom of the list cannot be tapped.</t>
  </si>
  <si>
    <t>1. Tap any product from the catalog 3 times.</t>
  </si>
  <si>
    <t>The product at the top of the list enters the details page normally, The product at the bottom of the list crashes when tapped 3 times</t>
  </si>
  <si>
    <t xml:space="preserve">1. Tap menu icon (⇧ A-B)
2. Tap Price - Ascending
3. Verify products are sorted
3. Tap the first product to go to Product Detail
4. Tap the device's back button </t>
  </si>
  <si>
    <t xml:space="preserve">The Products are sorted by Price - Ascending are kept in place after re-navigation  </t>
  </si>
  <si>
    <t>The Product Details page is displayed and the selected product information is displayed correctly.</t>
  </si>
  <si>
    <t>The Products list are kept in place after re navigation</t>
  </si>
  <si>
    <t>User is redirected to the Catalog page. Log Out option is displayed in the menu.</t>
  </si>
  <si>
    <t>The Log Out option is available in the menu.</t>
  </si>
  <si>
    <t>The user is logged out successfully and the Login screen is displayed.</t>
  </si>
  <si>
    <t>The logout action is canceled.
The user remains logged in.
The Catalog page remains displayed.
The Log Out option is still available.</t>
  </si>
  <si>
    <t>The logout action is canceled.
The user remains logged in.</t>
  </si>
  <si>
    <t>3. Cart</t>
  </si>
  <si>
    <t>Cart</t>
  </si>
  <si>
    <t>TC_CRT_001</t>
  </si>
  <si>
    <t>TC_CRT_002</t>
  </si>
  <si>
    <t>Verify cart displays added product correctly</t>
  </si>
  <si>
    <t>Verify cart badge shows correct count</t>
  </si>
  <si>
    <t>User logged in, 1 product added to cart</t>
  </si>
  <si>
    <t>App installed, user is not logged in.</t>
  </si>
  <si>
    <t>App installed, user is logged in.</t>
  </si>
  <si>
    <t>App installed, user on the Catalog page</t>
  </si>
  <si>
    <t>User on the Product Detail page</t>
  </si>
  <si>
    <t>User on the Product Detail page, quantity = 2</t>
  </si>
  <si>
    <t>User on the Product Detail page, quantity = 1</t>
  </si>
  <si>
    <t>1. Tap cart icon</t>
  </si>
  <si>
    <t xml:space="preserve">1. Add 1 product to cart 
2. Observe cart icon </t>
  </si>
  <si>
    <t>User logged in, on the Product Detail page</t>
  </si>
  <si>
    <t>Product name, image, price, color, quantity is correctly displayed</t>
  </si>
  <si>
    <t>Products name, image, price, and rating are displayed.</t>
  </si>
  <si>
    <t xml:space="preserve">Products name, image, price, rating are displayed.
</t>
  </si>
  <si>
    <t>The cart badge shows correct count</t>
  </si>
  <si>
    <t>Verify increase quantity in cart</t>
  </si>
  <si>
    <t>TC_CRT_003</t>
  </si>
  <si>
    <t>User logged in, 1 product in cart</t>
  </si>
  <si>
    <t>1. Tap + button in cart</t>
  </si>
  <si>
    <t>Cart's quantity increased by 1, total price updating</t>
  </si>
  <si>
    <t>Quantity increased by 1</t>
  </si>
  <si>
    <t>Quantity decreased by 1</t>
  </si>
  <si>
    <t>Verify decrease quantity in cart</t>
  </si>
  <si>
    <t>User logged in, quantity = 2 in cart</t>
  </si>
  <si>
    <t>1. Tap - button in cart</t>
  </si>
  <si>
    <t>Cart's quantity decreased by 1, total price updating</t>
  </si>
  <si>
    <t>TC_CRT_004</t>
  </si>
  <si>
    <t>TC_CRT_005</t>
  </si>
  <si>
    <t>TC_CRT_006</t>
  </si>
  <si>
    <t>Verify remove item from cart</t>
  </si>
  <si>
    <t>1. Tap "Remove Item"</t>
  </si>
  <si>
    <t>The product has disappeared from the cart, total price updating</t>
  </si>
  <si>
    <t>Verify cart empty state</t>
  </si>
  <si>
    <t>The cart displays an empty status.</t>
  </si>
  <si>
    <t>TC_CRT_007</t>
  </si>
  <si>
    <t>TC_CRT_008</t>
  </si>
  <si>
    <t>Verify total price calculation</t>
  </si>
  <si>
    <t>User logged in, multiple products in cart</t>
  </si>
  <si>
    <t>1. Add 2 product to cart 
2. Go to cart</t>
  </si>
  <si>
    <t>Total = total price × quantity</t>
  </si>
  <si>
    <t>Verify Proceed to Checkout button</t>
  </si>
  <si>
    <t>1. Tap "Proceed to Checkout"</t>
  </si>
  <si>
    <t>Navigate to Checkout page</t>
  </si>
  <si>
    <t>Verify cart persists after navigating away</t>
  </si>
  <si>
    <t>TC_CRT_009</t>
  </si>
  <si>
    <t>TC_CRT_010</t>
  </si>
  <si>
    <t>User logged in, has product in cart</t>
  </si>
  <si>
    <t>1. Navigate to Catalog 
2. Back to Cart</t>
  </si>
  <si>
    <t>The product is still in the shopping cart.</t>
  </si>
  <si>
    <t>Verify product is removed when quantity decreased to 0</t>
  </si>
  <si>
    <t>Product is removed from cart when tapping – at quantity 1</t>
  </si>
  <si>
    <t>3. Checkout &amp; Payment</t>
  </si>
  <si>
    <t>Checkout &amp; Payment</t>
  </si>
  <si>
    <t>TC_CHK_001</t>
  </si>
  <si>
    <t>Verify checkout with valid shipping information</t>
  </si>
  <si>
    <t>Navigate to Payment page</t>
  </si>
  <si>
    <t>Verify checkout with empty Full Name</t>
  </si>
  <si>
    <t>TC_CHK_002</t>
  </si>
  <si>
    <t>User logged in, on Checkout page</t>
  </si>
  <si>
    <t>1. Leave Full Name blank 
2. Tap "To Payment"</t>
  </si>
  <si>
    <t>Error message displayed, not navigate</t>
  </si>
  <si>
    <t>Verify checkout with empty Address Line 1</t>
  </si>
  <si>
    <t>TC_CHK_003</t>
  </si>
  <si>
    <t>1. Leave Address Line 1 blank 
2. Tap "To Payment"</t>
  </si>
  <si>
    <t>Verify checkout with empty Zip Code</t>
  </si>
  <si>
    <t>TC_CHK_004</t>
  </si>
  <si>
    <t>1. Leave Zip Code blank 
2. Tap "To Payment"</t>
  </si>
  <si>
    <t>Verify checkout with empty Country</t>
  </si>
  <si>
    <t>TC_CHK_005</t>
  </si>
  <si>
    <t>TC_CHK_006</t>
  </si>
  <si>
    <t>1. Leave Country blank 
2. Tap "To Payment"</t>
  </si>
  <si>
    <t>Verify Address Line 2 is optional</t>
  </si>
  <si>
    <t>1. Fill all fields except Address Line 2 
2. Tap "Payment Sheet"</t>
  </si>
  <si>
    <t>TC_CHK_007</t>
  </si>
  <si>
    <t>Verify valid payment information</t>
  </si>
  <si>
    <t>User logged in, on Payment page</t>
  </si>
  <si>
    <t>1. Fill in Full Name, Card Number, Expiration Date, Security Code 
2. Tap "Review Order"</t>
  </si>
  <si>
    <t>Navigate to Review Order page</t>
  </si>
  <si>
    <t>Verify empty Card Number</t>
  </si>
  <si>
    <t>TC_CHK_008</t>
  </si>
  <si>
    <t>1. Leave Card Number blank
2. Tap "Review Order"</t>
  </si>
  <si>
    <t>Verify empty Security Code</t>
  </si>
  <si>
    <t>1. Leave Security Code blank 
2. Tap "Review Order"</t>
  </si>
  <si>
    <t>TC_CHK_009</t>
  </si>
  <si>
    <t>TC_CHK_010</t>
  </si>
  <si>
    <t>TC_CHK_011</t>
  </si>
  <si>
    <t>Verify expired card date</t>
  </si>
  <si>
    <t>1. Enter expired date (e.g. 01/20) 
2. Tap "Review Order"</t>
  </si>
  <si>
    <t>TC_CHK_012</t>
  </si>
  <si>
    <t>Verify Review Order displays correct information</t>
  </si>
  <si>
    <t>User logged in, filled shipping + payment</t>
  </si>
  <si>
    <t>1. Complete both steps 
2. Review Order screen</t>
  </si>
  <si>
    <t>Verify total price on Review Order</t>
  </si>
  <si>
    <t>Verify Place Order completes successfully</t>
  </si>
  <si>
    <t>TC_CHK_013</t>
  </si>
  <si>
    <t>TC_CHK_014</t>
  </si>
  <si>
    <t>User logged in, 1 product $29.99 in cart</t>
  </si>
  <si>
    <t>User logged in, on Review Order page</t>
  </si>
  <si>
    <t>1. Tap "Place Order"</t>
  </si>
  <si>
    <t>1. Complete checkout  
2. Review Order</t>
  </si>
  <si>
    <t>"Checkout Complete" screen displayed</t>
  </si>
  <si>
    <t>Verify cart items persist after login</t>
  </si>
  <si>
    <t>User is not logged in, 1 product in cart</t>
  </si>
  <si>
    <t>The product is still in the shopping cart after login.</t>
  </si>
  <si>
    <t>TC_CRT_011</t>
  </si>
  <si>
    <t>1. Navigate to Login
2. Login with valid account
3. Back to Cart</t>
  </si>
  <si>
    <t>Verify checkout requires login</t>
  </si>
  <si>
    <t>1. Tap cart icon 
2. Tap "Proceed to Checkout"</t>
  </si>
  <si>
    <t>App redirects to the Login page or displays a login request message</t>
  </si>
  <si>
    <t>TC_CHK_015</t>
  </si>
  <si>
    <t>The app redirects to the Login page</t>
  </si>
  <si>
    <t>Verify State/Region is optional</t>
  </si>
  <si>
    <t>1. Fill all fields except State/Region 
2. Tap "Payment Sheet"</t>
  </si>
  <si>
    <t>"Please provide your full name." displayed, not navigate</t>
  </si>
  <si>
    <t>"Please provide your address." displayed, not navigate</t>
  </si>
  <si>
    <t>"Please provide your zip." displayed, not navigate</t>
  </si>
  <si>
    <t>"Please provide your country." displayed, not navigate</t>
  </si>
  <si>
    <t>Verify checkout with empty City</t>
  </si>
  <si>
    <t>Verify Zip Code field only accepts numbers</t>
  </si>
  <si>
    <t>1. Tap Zip Code field 
2. Fill text (e.g. "abcde") 
3. Tap "To Payment"</t>
  </si>
  <si>
    <t>The app does not accept text, displays errors, or only allows you to enter numbers</t>
  </si>
  <si>
    <t>The field can not be filled with text.</t>
  </si>
  <si>
    <t>"Please provide your city." displayed, not navigate</t>
  </si>
  <si>
    <t>TC_CHK_016</t>
  </si>
  <si>
    <t>TC_CHK_017</t>
  </si>
  <si>
    <t>Verify empty Full Name</t>
  </si>
  <si>
    <t>1. Leave Full Name blank 
2. Tap "Review Order"</t>
  </si>
  <si>
    <t>TC_CHK_018</t>
  </si>
  <si>
    <t>Verify empty Expiration Date</t>
  </si>
  <si>
    <t>1. Leave Expiration Date blank 
2. Tap "Review Order"</t>
  </si>
  <si>
    <t>TC_CHK_019</t>
  </si>
  <si>
    <t>Error message not displayed, not navigate</t>
  </si>
  <si>
    <t xml:space="preserve">Product, deliver address and payment method correctly displayed, </t>
  </si>
  <si>
    <t>Verify total = total product price + shipping fee</t>
  </si>
  <si>
    <t>Verify navigate to Catalog after checkout complete</t>
  </si>
  <si>
    <t>User logged in, on Checkout complete page</t>
  </si>
  <si>
    <t>1. Tap "Continue Shopping"</t>
  </si>
  <si>
    <t>Navigate to Catalog page</t>
  </si>
  <si>
    <t>TC_CHK_020</t>
  </si>
  <si>
    <t>$35.98 displayed (product $29.99 + shipping $5.99)</t>
  </si>
  <si>
    <t>About</t>
  </si>
  <si>
    <t>TC_ABT_001</t>
  </si>
  <si>
    <t>TC_ABT_002</t>
  </si>
  <si>
    <t>TC_ABT_003</t>
  </si>
  <si>
    <t>Verify About page displays app version correctly</t>
  </si>
  <si>
    <t>Verify "Go to Sauce Labs website" link navigates correctly</t>
  </si>
  <si>
    <t>Verify back navigation from About page</t>
  </si>
  <si>
    <t>App installed, user on any page</t>
  </si>
  <si>
    <t>User on About page</t>
  </si>
  <si>
    <t>1. Tap menu (☰)
2. Tap "About"</t>
  </si>
  <si>
    <t>1. Tap "Go to the Sauce Labs website"</t>
  </si>
  <si>
    <t>1. Tap device back button</t>
  </si>
  <si>
    <t>App version "V.2.2.0-build 25" displayed correctly.</t>
  </si>
  <si>
    <t>Browser open the correct page saucelabs.com</t>
  </si>
  <si>
    <t>Navigate to before page, not crash</t>
  </si>
  <si>
    <t>1. About</t>
  </si>
  <si>
    <t>2. WebViewer</t>
  </si>
  <si>
    <t>TC_WBV_001</t>
  </si>
  <si>
    <t>App installed, user logged in</t>
  </si>
  <si>
    <t>Verify valid HTTPS URL loads successfully</t>
  </si>
  <si>
    <t>App installed, user on WebViewer page</t>
  </si>
  <si>
    <t>1. Enter a valid URL (https://google.com) 
2. Tap "Go To Site"</t>
  </si>
  <si>
    <t>Website loads successfully in app.</t>
  </si>
  <si>
    <t>WebViewer</t>
  </si>
  <si>
    <t>TC_WBV_002</t>
  </si>
  <si>
    <t>TC_WBV_003</t>
  </si>
  <si>
    <t>Verify invalid URL shows error message</t>
  </si>
  <si>
    <t>"Please provide a correct https url." displayed, not navigate</t>
  </si>
  <si>
    <t>1. Entering a URL in the wrong format ("abc123") 
2. Tap "Go To Site"</t>
  </si>
  <si>
    <t>Verify empty URL field shows error</t>
  </si>
  <si>
    <t>Verify back navigation from loaded page</t>
  </si>
  <si>
    <t>Verify WebViewer behavior with no network</t>
  </si>
  <si>
    <t>TC_WBV_004</t>
  </si>
  <si>
    <t>TC_WBV_005</t>
  </si>
  <si>
    <t>TC_WBV_006</t>
  </si>
  <si>
    <t>Verify HTTP URL shows error</t>
  </si>
  <si>
    <t>App installed, user on WebViewer page, valid URL loaded</t>
  </si>
  <si>
    <t>App installed, user on WebViewer page, network off</t>
  </si>
  <si>
    <t>1. Empty URL field 
2. Tap "Go To Site"</t>
  </si>
  <si>
    <t>1. Enter HTTP URL (http://google.com) 
2. Tap "Go To Site"</t>
  </si>
  <si>
    <t>The app navigates to the WebViewer and then displays the error net::ERR_NAME_NOT_RESOLVED.</t>
  </si>
  <si>
    <t>Back to the WebViewer page, no crash.</t>
  </si>
  <si>
    <t>1. Turn off WiFi/data. 
2. Enter a valid URL. 
3. Tap "Go To Site".</t>
  </si>
  <si>
    <t>An error message or offline page is displayed, no crash.</t>
  </si>
  <si>
    <t>An error dialog is displayed with the message: 'net::ERR_NAME_NOT_RESOLVED', no crash.</t>
  </si>
  <si>
    <t>Drawing</t>
  </si>
  <si>
    <t>TC_DRW_001</t>
  </si>
  <si>
    <t>Verify drawing canvas displays correctly</t>
  </si>
  <si>
    <t>App installed, user on Drawing page</t>
  </si>
  <si>
    <t>1. Tap menu 
2. Tap "Drawing"</t>
  </si>
  <si>
    <t>TC_DRW_002</t>
  </si>
  <si>
    <t>TC_DRW_003</t>
  </si>
  <si>
    <t>TC_DRW_004</t>
  </si>
  <si>
    <t>TC_DRW_005</t>
  </si>
  <si>
    <t>TC_DRW_006</t>
  </si>
  <si>
    <t>TC_DRW_007</t>
  </si>
  <si>
    <t>TC_DRW_008</t>
  </si>
  <si>
    <t>Verify user can draw on canvas</t>
  </si>
  <si>
    <t>Verify Clear button clears canvas</t>
  </si>
  <si>
    <t>Verify Save with permission granted</t>
  </si>
  <si>
    <t>Verify Save with permission denied</t>
  </si>
  <si>
    <t>User on Drawing page</t>
  </si>
  <si>
    <t>1. Draw on the canvas</t>
  </si>
  <si>
    <t>The drawn line follows the movement of the cursor.</t>
  </si>
  <si>
    <t>The user on the Drawing page has drawn something.</t>
  </si>
  <si>
    <t>1. Tap "Clear"</t>
  </si>
  <si>
    <t>The canvas returns to blank, all the drawings are erased.</t>
  </si>
  <si>
    <t>1. Tap "Save"</t>
  </si>
  <si>
    <t>Verify permission request displays when entering Drawing page</t>
  </si>
  <si>
    <t>The permission dialog displays requests for access to photos, videos, music, and audio.</t>
  </si>
  <si>
    <t>User on Drawing page, permission allowed, has drawn something</t>
  </si>
  <si>
    <t>User on Drawing page, permission denied, has drawn something</t>
  </si>
  <si>
    <t>Drawings are saved to device storage.</t>
  </si>
  <si>
    <t>App handles gracefully, no crash, with appropriate notifications</t>
  </si>
  <si>
    <t>"Save Drawing" is displayed; drawings are saved to device storage.</t>
  </si>
  <si>
    <t>App displays save success notification despite storage permission being denied — user believes drawing was saved but it was not</t>
  </si>
  <si>
    <t>Verify the drawing does not disappear when back from the Drawing page</t>
  </si>
  <si>
    <t>The drawing is not lost after returning to the page, no crash.</t>
  </si>
  <si>
    <t>The drawing lost after back navigation, no crash</t>
  </si>
  <si>
    <t>Verify blank drawings are not saved.</t>
  </si>
  <si>
    <t>A warning message "Nothing to save" or a disabled button appears when the canvas is empty.</t>
  </si>
  <si>
    <t>App shows save success notification on empty canvas</t>
  </si>
  <si>
    <t>Drawing canvas displays correctly with Clear and Save buttons</t>
  </si>
  <si>
    <t>Observation: "Behavior unclear without spec — needs clarification."</t>
  </si>
  <si>
    <t>3. Drawing</t>
  </si>
  <si>
    <t>4. Reset App State</t>
  </si>
  <si>
    <t>Reset App State</t>
  </si>
  <si>
    <t>Verify the reset confirmation displayed.</t>
  </si>
  <si>
    <t>1. Tap menu (☰)
2. Tap "Drawing"</t>
  </si>
  <si>
    <t>1. Tap device back button
2. Tap menu (☰)
3. Tap "Drawing"</t>
  </si>
  <si>
    <t>1. Tap menu (☰)
3. Tap "Reset App State"</t>
  </si>
  <si>
    <t>TC_RAS_001</t>
  </si>
  <si>
    <t>TC_RAS_002</t>
  </si>
  <si>
    <t>TC_RAS_003</t>
  </si>
  <si>
    <t>1. Tap "Reset App"</t>
  </si>
  <si>
    <t>The application restarted with a message displayed.</t>
  </si>
  <si>
    <t>The application restarted with "App State has been reset." displayed</t>
  </si>
  <si>
    <t>Verify the "Cancel" option.</t>
  </si>
  <si>
    <t>Verify the "Reset App" option.</t>
  </si>
  <si>
    <t>1. Tap "Cancel"</t>
  </si>
  <si>
    <t>The application isn't restarted. No crash.</t>
  </si>
  <si>
    <t>5. Cashes App</t>
  </si>
  <si>
    <t>User on the confirmation dialog</t>
  </si>
  <si>
    <t>The confirmation dialog displayed with 'Cancel' and 'Reset App' options.</t>
  </si>
  <si>
    <t>The user is successfully logged out, and the Login screen is displayed.</t>
  </si>
  <si>
    <t>1. Click menu (☰)
2. Tap "Log In"
3. Click Username available or Enter a valid username, password
4. Click the Login button</t>
  </si>
  <si>
    <t>1. Click menu (☰)
2. Tap "Log In"
3. Leave the Username field blank
4. Click the Login button</t>
  </si>
  <si>
    <t>1. Click menu (☰)
2. Tap "Log In"
3. Leave the Password field blank
4. Click the Login button</t>
  </si>
  <si>
    <t>1. Click menu (☰)
2. Tap "Log In"
3. Click a locked account
4. Click the Login button</t>
  </si>
  <si>
    <t>1. Click menu (☰)
2. Tap "Log Out"
3. Tap "Log Out" option.</t>
  </si>
  <si>
    <t>1. Click menu (☰)
2. Tap "Log Out"
3. Tap "Cancel" option.</t>
  </si>
  <si>
    <t>The error message is displayed, user not logged in</t>
  </si>
  <si>
    <t>"Username is required" displayed, user not logged in</t>
  </si>
  <si>
    <t>"Enter Password" displayed, user not logged in</t>
  </si>
  <si>
    <t>"Sorry this user has been locked out." displayed, user not logged in</t>
  </si>
  <si>
    <t>Verify Uncaught Exception crashes app</t>
  </si>
  <si>
    <t>Verify Native Crash crashes app</t>
  </si>
  <si>
    <t>1. Tap menu → "Crash app" 
2. Tap "Uncaught Exception"</t>
  </si>
  <si>
    <t>User on the Cashes page</t>
  </si>
  <si>
    <t>1. Tap menu → "Crash app" 
2. Tap "Native Crash"</t>
  </si>
  <si>
    <t>App crashes, OS shows crash dialog or app closes</t>
  </si>
  <si>
    <t>TC_CRS_001</t>
  </si>
  <si>
    <t>TC_CRS_002</t>
  </si>
  <si>
    <t>TC_CRS_003</t>
  </si>
  <si>
    <t>TC_LAU_001</t>
  </si>
  <si>
    <t>TC_LAU_002</t>
  </si>
  <si>
    <t>UI</t>
  </si>
  <si>
    <t>TC_UI_001</t>
  </si>
  <si>
    <t>Verify launch app after swipe-kill</t>
  </si>
  <si>
    <t>Verify scroll product list</t>
  </si>
  <si>
    <t>1. Scroll down the product list
2. Scroll back up</t>
  </si>
  <si>
    <t>TC_UI_002</t>
  </si>
  <si>
    <t>TC_UI_003</t>
  </si>
  <si>
    <t>2. UI</t>
  </si>
  <si>
    <t>3. Interruption</t>
  </si>
  <si>
    <t>TC_INT_001</t>
  </si>
  <si>
    <t>TC_INT_002</t>
  </si>
  <si>
    <t>TC_INT_003</t>
  </si>
  <si>
    <t>4. Permission</t>
  </si>
  <si>
    <t>Permission</t>
  </si>
  <si>
    <t>5. Navigation</t>
  </si>
  <si>
    <t>Navigation</t>
  </si>
  <si>
    <t>TC_NAV_001</t>
  </si>
  <si>
    <t>TC_PER_001</t>
  </si>
  <si>
    <t>TC_PER_002</t>
  </si>
  <si>
    <t>TC_PER_003</t>
  </si>
  <si>
    <t>TC_NAV_002</t>
  </si>
  <si>
    <t>TC_NAV_003</t>
  </si>
  <si>
    <t>Media</t>
  </si>
  <si>
    <t>TC_MED_001</t>
  </si>
  <si>
    <t>TC_MED_002</t>
  </si>
  <si>
    <t>Field</t>
  </si>
  <si>
    <t>Value</t>
  </si>
  <si>
    <t>Valid username</t>
  </si>
  <si>
    <t>bob@example.com</t>
  </si>
  <si>
    <t>Valid password</t>
  </si>
  <si>
    <t>Locked-out username</t>
  </si>
  <si>
    <t>alice@example.com</t>
  </si>
  <si>
    <t>Shipping – Full Name</t>
  </si>
  <si>
    <t>Rebecca Winter</t>
  </si>
  <si>
    <t>Shipping – Address</t>
  </si>
  <si>
    <t>Mandorley 112</t>
  </si>
  <si>
    <t>Shipping – City</t>
  </si>
  <si>
    <t>Truro</t>
  </si>
  <si>
    <t>Shipping – State</t>
  </si>
  <si>
    <t>Cornwall</t>
  </si>
  <si>
    <t>Shipping – Zip</t>
  </si>
  <si>
    <t>Shipping – Country</t>
  </si>
  <si>
    <t>United Kingdom</t>
  </si>
  <si>
    <t>Card – Full Name</t>
  </si>
  <si>
    <t>Card – Number</t>
  </si>
  <si>
    <t>Card – Exp Date</t>
  </si>
  <si>
    <t>Card – CVV</t>
  </si>
  <si>
    <t>Invalid URL sample</t>
  </si>
  <si>
    <t>https://google.com</t>
  </si>
  <si>
    <t>Verify app can be relaunched after Uncaught Exception</t>
  </si>
  <si>
    <t>App has crashed via Uncaught Exception</t>
  </si>
  <si>
    <t>1. Reopen app from launcher</t>
  </si>
  <si>
    <t>App launches normally, no data corruption</t>
  </si>
  <si>
    <t>TC_CRS_004</t>
  </si>
  <si>
    <t>Verify app can be relaunched after Native Crash</t>
  </si>
  <si>
    <t>App has crashed via Native Crash</t>
  </si>
  <si>
    <t>Verify app starts from emulator</t>
  </si>
  <si>
    <t>APK installed on emulator</t>
  </si>
  <si>
    <t>1. Tap app icon from launcher</t>
  </si>
  <si>
    <t>App launches successfully, displays Catalog page</t>
  </si>
  <si>
    <t>App is running</t>
  </si>
  <si>
    <t>1. Swipe-kill app in Recent Apps
2. Re-open app</t>
  </si>
  <si>
    <t>App relaunches successfully, no crash</t>
  </si>
  <si>
    <t>TC_LAU_003</t>
  </si>
  <si>
    <t>Verify app launch time is acceptable</t>
  </si>
  <si>
    <t>1. Tap app icon 
2. Measure time until Catalog displays</t>
  </si>
  <si>
    <t>App fully loads within 3 seconds</t>
  </si>
  <si>
    <t>Verify Catalog screen layout in portrait</t>
  </si>
  <si>
    <t>App launched, user on Catalog page</t>
  </si>
  <si>
    <t>1. Hold device in portrait mode 
2. Observe layout</t>
  </si>
  <si>
    <t>Products displayed in a 2-column grid, no overlap or cutoff</t>
  </si>
  <si>
    <t>Verify Catalog screen layout in landscape</t>
  </si>
  <si>
    <t>1. Rotate device to landscape 
2. Observe layout</t>
  </si>
  <si>
    <t>Layout adjusts correctly, no overlap or cutoff</t>
  </si>
  <si>
    <t>User on Catalog page</t>
  </si>
  <si>
    <t>Product list scrolls smoothly, all products accessible</t>
  </si>
  <si>
    <t>TC_UI_004</t>
  </si>
  <si>
    <t>Verify form data retained after rotation</t>
  </si>
  <si>
    <t>User on Checkout page, partially filled form</t>
  </si>
  <si>
    <t>1. Fill some fields 
2. Rotate device 
3. Rotate back</t>
  </si>
  <si>
    <t>All entered data retained after rotation</t>
  </si>
  <si>
    <t>Interruption</t>
  </si>
  <si>
    <t>User logged in, filling Checkout form</t>
  </si>
  <si>
    <t>1. Receive incoming call 
2. Answer call
3. End call 
4. Return to app</t>
  </si>
  <si>
    <t>App resumes on Checkout page, form data retained</t>
  </si>
  <si>
    <t>1. Press Home button 
2. Wait 30 seconds 
3. Reopen app</t>
  </si>
  <si>
    <t>Verify app behavior when switching to another app</t>
  </si>
  <si>
    <t>App resumes correctly, no crash</t>
  </si>
  <si>
    <t>1. Switch to another app 
2. Return to app</t>
  </si>
  <si>
    <t>Verify storage permission request on Drawing page</t>
  </si>
  <si>
    <t>Permission dialog displayed requesting access to photos, videos, music and audio</t>
  </si>
  <si>
    <t>Verify Drawing Save with permission granted</t>
  </si>
  <si>
    <t>User on Drawing page, permission allowed</t>
  </si>
  <si>
    <t>1. Draw something 
2. Tap "Save"</t>
  </si>
  <si>
    <t>Drawing saved to device storage successfully</t>
  </si>
  <si>
    <t>Verify Drawing Save with permission denied</t>
  </si>
  <si>
    <t>User on Drawing page, permission denied</t>
  </si>
  <si>
    <t>App shows error message indicating cannot save due to permission denied</t>
  </si>
  <si>
    <t>Verify app behavior when permission revoked from settings</t>
  </si>
  <si>
    <t>1. Go to device Settings 
2. Revoke storage permission 
3. Return to app 
4. Try to save drawing</t>
  </si>
  <si>
    <t>App handles gracefully, prompts to re-enable permission</t>
  </si>
  <si>
    <t>TC_PER_004</t>
  </si>
  <si>
    <t>Verify back navigation from Product Detail to Catalog</t>
  </si>
  <si>
    <t>User on Product Detail page</t>
  </si>
  <si>
    <t>Returns to Catalog page, scroll position retained</t>
  </si>
  <si>
    <t>Verify back navigation from Checkout to Cart</t>
  </si>
  <si>
    <t>User on Checkout page</t>
  </si>
  <si>
    <t>Returns to Cart page, cart items retained</t>
  </si>
  <si>
    <t>Verify menu navigation from any page</t>
  </si>
  <si>
    <t>User on any page</t>
  </si>
  <si>
    <t>1. Tap (☰) menu
2. Select any menu item</t>
  </si>
  <si>
    <t>Navigates to selected page correctly</t>
  </si>
  <si>
    <t>Verify cart icon navigation</t>
  </si>
  <si>
    <t>User on any page, items in cart</t>
  </si>
  <si>
    <t>Navigates to Cart page, correct item count shown</t>
  </si>
  <si>
    <t>TC_NAV_004</t>
  </si>
  <si>
    <t>Verify product images load correctly</t>
  </si>
  <si>
    <t>1. Observe product images on Catalog</t>
  </si>
  <si>
    <t>All product images load correctly, no broken images</t>
  </si>
  <si>
    <t>Verify product images load on Product Detail</t>
  </si>
  <si>
    <t>1. Tap any product 
2. Observe product image</t>
  </si>
  <si>
    <t>Product image loads correctly on Detail page</t>
  </si>
  <si>
    <t>Verify Drawing save stores image to gallery</t>
  </si>
  <si>
    <t>User on Drawing page, permission granted</t>
  </si>
  <si>
    <t>1. Draw something 
2. Tap "Save" 
3. Check device gallery</t>
  </si>
  <si>
    <t>Drawing saved as image file in device gallery</t>
  </si>
  <si>
    <t>TC_MED_003</t>
  </si>
  <si>
    <t>08/26</t>
  </si>
  <si>
    <t xml:space="preserve">"Backtrace client not initialized, cannot crash app" toast message displayed. Crash feature is not functional in current APK build.
</t>
  </si>
  <si>
    <t>Not testable on pre-built APK.</t>
  </si>
  <si>
    <t>App rotates to landscape orientation. Catalog page displays correctly. No overlap or cutoff observed.</t>
  </si>
  <si>
    <t>Product list scrolls smoothly. However, products at the bottom of the list are inaccessible — tapping them does not navigate to Product Detail page.</t>
  </si>
  <si>
    <t xml:space="preserve">Layout displays correctly in both portrait and landscape orientations. All entered form data is retained after rotation. No crash.
</t>
  </si>
  <si>
    <t>After ending the call and return, app resumes on Checkout page, form data retained</t>
  </si>
  <si>
    <t>Verify incoming call during app usage</t>
  </si>
  <si>
    <t>Verify app backgrounded during usage</t>
  </si>
  <si>
    <t>After returning app after 30 seconds, app resumes on Checkout page, form data retained</t>
  </si>
  <si>
    <t>After returning app from another app, app resumes on nearest page, no crash</t>
  </si>
  <si>
    <t>User on any page, browsing app</t>
  </si>
  <si>
    <t>Permission dialog displayed "Allow My Demo App to access to photos, videos, music and audio on this device?"</t>
  </si>
  <si>
    <t>"Save drawing" message displayed</t>
  </si>
  <si>
    <t>User on Drawing page, app has storage permission granted</t>
  </si>
  <si>
    <t>After revoke storage permission and return to app, app requests to re-enable the permission</t>
  </si>
  <si>
    <t>After return back to Catalog page, scroll position retained</t>
  </si>
  <si>
    <t>After return back to Cart page from Checkout Page, cart items retained</t>
  </si>
  <si>
    <t>App navigate to the selected page correctly</t>
  </si>
  <si>
    <t>App navigate to Cart page, correct item count show</t>
  </si>
  <si>
    <t>TEST CASE</t>
  </si>
  <si>
    <t>Pass</t>
  </si>
  <si>
    <t>Fail</t>
  </si>
  <si>
    <t>Android Emulator – Pixel 6a / Android 17 (API 37.0)</t>
  </si>
  <si>
    <t>Version</t>
  </si>
  <si>
    <t>Project Name</t>
  </si>
  <si>
    <t>Tester</t>
  </si>
  <si>
    <t>Date</t>
  </si>
  <si>
    <t xml:space="preserve">SAUCELABS DEMO APP TESTING </t>
  </si>
  <si>
    <t>Nguyen Hoang Lam Tan</t>
  </si>
  <si>
    <t>TEST SUMMARY</t>
  </si>
  <si>
    <t>Number of test cases</t>
  </si>
  <si>
    <t>Blocked</t>
  </si>
  <si>
    <t>Environment</t>
  </si>
  <si>
    <t>App Name</t>
  </si>
  <si>
    <t>MyDemoApp</t>
  </si>
  <si>
    <t>Test Type</t>
  </si>
  <si>
    <t>Mobile-Specific Testing + Functional Testing + Additional Features Testing</t>
  </si>
  <si>
    <t>V2.2.0-build 25</t>
  </si>
  <si>
    <t>Mobile-Specific Testing</t>
  </si>
  <si>
    <t>Skipped</t>
  </si>
  <si>
    <t>Function Testing</t>
  </si>
  <si>
    <t>Additional Features Testing</t>
  </si>
  <si>
    <t>6. Media</t>
  </si>
  <si>
    <t>Product image remains unchanged when a different color is selected</t>
  </si>
  <si>
    <t>Observation: Color selector may be expected to update product image. Behavior unclear without spec — needs clarification with PM/dev</t>
  </si>
  <si>
    <t>1. Tap "Proceed to Checkout" 
2. Fill in Full Name, Address 1, Address 2, City, Zip Code, State, Country 
3. Tap "To Payment"</t>
  </si>
  <si>
    <t>"Value looks invalid." displayed, not navigate</t>
  </si>
  <si>
    <t>Crash App</t>
  </si>
  <si>
    <t>1. Launch</t>
  </si>
  <si>
    <t>Launch</t>
  </si>
  <si>
    <t>Related to same root cause — products at bottom of list unresponsive and cause app crash</t>
  </si>
  <si>
    <t>Bug: Expired card date is accepted without validation</t>
  </si>
  <si>
    <t>Bug: App misleads user by showing save success despite permission denied</t>
  </si>
  <si>
    <t>Bug: Inconsistent validation behavior — HTTP URL should be blocked at input like invalid URL format</t>
  </si>
  <si>
    <t>Bug: Error message not displayed</t>
  </si>
  <si>
    <t>Bug: App shows save success notification on empty canvas</t>
  </si>
  <si>
    <t>The user on the Drawing page has not created any drawings,  permission allowed.</t>
  </si>
  <si>
    <t>The user on the Drawing page has drawn something,  permission allowed.</t>
  </si>
  <si>
    <t>See TC_UI_003</t>
  </si>
  <si>
    <t>07/06/2026 - 13/06/2026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</si>
</sst>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3"/>
      <scheme val="minor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sz val="8"/>
      <name val="Aptos Narrow"/>
      <family val="2"/>
      <charset val="163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6" tint="-0.249977111117893"/>
      <name val="Calibri"/>
      <family val="2"/>
    </font>
    <font>
      <b/>
      <sz val="10"/>
      <color rgb="FFFF0000"/>
      <name val="Calibri"/>
      <family val="2"/>
    </font>
    <font>
      <b/>
      <sz val="10"/>
      <color theme="5" tint="-0.249977111117893"/>
      <name val="Calibri"/>
      <family val="2"/>
    </font>
    <font>
      <b/>
      <sz val="10"/>
      <color theme="3" tint="0.499984740745262"/>
      <name val="Calibri"/>
      <family val="2"/>
    </font>
    <font>
      <b/>
      <sz val="10"/>
      <color theme="2" tint="-0.499984740745262"/>
      <name val="Calibri"/>
      <family val="2"/>
    </font>
    <font>
      <sz val="11"/>
      <color rgb="FFFF3300"/>
      <name val="Aptos Narrow"/>
      <family val="2"/>
      <charset val="163"/>
      <scheme val="minor"/>
    </font>
    <font>
      <sz val="11"/>
      <color rgb="FF7F6000"/>
      <name val="Aptos Narrow"/>
      <family val="2"/>
      <charset val="163"/>
      <scheme val="minor"/>
    </font>
    <font>
      <sz val="11"/>
      <color theme="9" tint="-0.249977111117893"/>
      <name val="Aptos Narrow"/>
      <family val="2"/>
      <charset val="163"/>
      <scheme val="minor"/>
    </font>
    <font>
      <b/>
      <sz val="18"/>
      <color theme="1"/>
      <name val="Calibri"/>
      <family val="2"/>
    </font>
    <font>
      <b/>
      <sz val="15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6B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1" fillId="3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3" fillId="4" borderId="5" xfId="0" applyFont="1" applyFill="1" applyBorder="1"/>
    <xf numFmtId="0" fontId="7" fillId="5" borderId="5" xfId="0" applyFont="1" applyFill="1" applyBorder="1"/>
    <xf numFmtId="0" fontId="8" fillId="6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 wrapText="1"/>
    </xf>
    <xf numFmtId="0" fontId="14" fillId="8" borderId="3" xfId="0" applyFont="1" applyFill="1" applyBorder="1" applyAlignment="1">
      <alignment horizontal="center"/>
    </xf>
    <xf numFmtId="0" fontId="15" fillId="11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top" wrapText="1"/>
    </xf>
    <xf numFmtId="1" fontId="8" fillId="6" borderId="1" xfId="0" applyNumberFormat="1" applyFont="1" applyFill="1" applyBorder="1" applyAlignment="1">
      <alignment horizontal="left" vertical="top" wrapText="1"/>
    </xf>
    <xf numFmtId="17" fontId="8" fillId="6" borderId="1" xfId="0" quotePrefix="1" applyNumberFormat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wrapText="1"/>
    </xf>
    <xf numFmtId="0" fontId="6" fillId="7" borderId="1" xfId="0" applyFont="1" applyFill="1" applyBorder="1" applyAlignment="1">
      <alignment horizontal="left" wrapText="1"/>
    </xf>
    <xf numFmtId="0" fontId="17" fillId="3" borderId="0" xfId="0" applyFont="1" applyFill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27"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6B9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rgb="FFFFC6B9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6B9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rgb="FFFFC6B9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6B9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rgb="FFFFC6B9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mruColors>
      <color rgb="FF979797"/>
      <color rgb="FFD9EAD3"/>
      <color rgb="FFFFF2CC"/>
      <color rgb="FFFFC6B9"/>
      <color rgb="FF7F6000"/>
      <color rgb="FFA0AC00"/>
      <color rgb="FFFDFFBD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DB44-0FB6-4040-9D6A-94D7255CC94B}">
  <dimension ref="A1:B16"/>
  <sheetViews>
    <sheetView tabSelected="1" workbookViewId="0">
      <selection activeCell="D9" sqref="D9"/>
    </sheetView>
  </sheetViews>
  <sheetFormatPr defaultRowHeight="14.5" x14ac:dyDescent="0.35"/>
  <cols>
    <col min="1" max="1" width="17.08984375" style="1" customWidth="1"/>
    <col min="2" max="2" width="58.453125" style="1" customWidth="1"/>
    <col min="3" max="16384" width="8.7265625" style="1"/>
  </cols>
  <sheetData>
    <row r="1" spans="1:2" ht="31" customHeight="1" x14ac:dyDescent="0.35">
      <c r="A1" s="34" t="s">
        <v>558</v>
      </c>
      <c r="B1" s="34"/>
    </row>
    <row r="2" spans="1:2" x14ac:dyDescent="0.35">
      <c r="A2" s="30" t="s">
        <v>563</v>
      </c>
      <c r="B2" s="22" t="s">
        <v>566</v>
      </c>
    </row>
    <row r="3" spans="1:2" x14ac:dyDescent="0.35">
      <c r="A3" s="30" t="s">
        <v>572</v>
      </c>
      <c r="B3" s="22" t="s">
        <v>573</v>
      </c>
    </row>
    <row r="4" spans="1:2" x14ac:dyDescent="0.35">
      <c r="A4" s="30" t="s">
        <v>562</v>
      </c>
      <c r="B4" s="23" t="s">
        <v>576</v>
      </c>
    </row>
    <row r="5" spans="1:2" x14ac:dyDescent="0.35">
      <c r="A5" s="31" t="s">
        <v>571</v>
      </c>
      <c r="B5" s="23" t="s">
        <v>561</v>
      </c>
    </row>
    <row r="6" spans="1:2" x14ac:dyDescent="0.35">
      <c r="A6" s="30" t="s">
        <v>564</v>
      </c>
      <c r="B6" s="22" t="s">
        <v>567</v>
      </c>
    </row>
    <row r="7" spans="1:2" ht="16.5" customHeight="1" x14ac:dyDescent="0.35">
      <c r="A7" s="30" t="s">
        <v>574</v>
      </c>
      <c r="B7" s="22" t="s">
        <v>575</v>
      </c>
    </row>
    <row r="8" spans="1:2" x14ac:dyDescent="0.35">
      <c r="A8" s="30" t="s">
        <v>565</v>
      </c>
      <c r="B8" s="22" t="s">
        <v>598</v>
      </c>
    </row>
    <row r="10" spans="1:2" ht="17" x14ac:dyDescent="0.35">
      <c r="A10" s="35" t="s">
        <v>568</v>
      </c>
      <c r="B10" s="36"/>
    </row>
    <row r="11" spans="1:2" x14ac:dyDescent="0.35">
      <c r="A11" s="32" t="s">
        <v>569</v>
      </c>
      <c r="B11" s="22">
        <f>COUNT('Mobile-Specific Testing'!$A:$A,'Function Testing'!$A:$A,'Additional Features Testing'!$A:$A)</f>
        <v>101</v>
      </c>
    </row>
    <row r="12" spans="1:2" x14ac:dyDescent="0.35">
      <c r="A12" s="32" t="s">
        <v>559</v>
      </c>
      <c r="B12" s="24">
        <f>COUNTIF('Mobile-Specific Testing'!$J:$J,"PASS") + COUNTIF('Function Testing'!$J:$J,"PASS") + COUNTIF('Additional Features Testing'!$J:$J,"PASS")</f>
        <v>87</v>
      </c>
    </row>
    <row r="13" spans="1:2" x14ac:dyDescent="0.35">
      <c r="A13" s="33" t="s">
        <v>560</v>
      </c>
      <c r="B13" s="24">
        <f>COUNTIF('Mobile-Specific Testing'!$J:$J,"FAIL") + COUNTIF('Function Testing'!$J:$J,"FAIL") + COUNTIF('Additional Features Testing'!$J:$J,"FAIL")</f>
        <v>10</v>
      </c>
    </row>
    <row r="14" spans="1:2" x14ac:dyDescent="0.35">
      <c r="A14" s="32" t="s">
        <v>570</v>
      </c>
      <c r="B14" s="24">
        <f>COUNTIF('Mobile-Specific Testing'!$J:$J,"BLOCKED") + COUNTIF('Function Testing'!$J:$J,"BLOCKED") + COUNTIF('Additional Features Testing'!$J:$J,"BLOCKED")</f>
        <v>4</v>
      </c>
    </row>
    <row r="15" spans="1:2" x14ac:dyDescent="0.35">
      <c r="A15" s="32" t="s">
        <v>578</v>
      </c>
      <c r="B15" s="24">
        <f>COUNTIF('Mobile-Specific Testing'!$J:$J,"SKIPPED") + COUNTIF('Function Testing'!$J:$J,"SKIPPED") + COUNTIF('Additional Features Testing'!$J:$J,"SKIPPED")</f>
        <v>0</v>
      </c>
    </row>
    <row r="16" spans="1:2" x14ac:dyDescent="0.35">
      <c r="A16" s="32" t="s">
        <v>23</v>
      </c>
      <c r="B16" s="24">
        <f>COUNTIF('Mobile-Specific Testing'!$J:$J,"N/A") + COUNTIF('Function Testing'!$J:$J,"N/A") + COUNTIF('Additional Features Testing'!$J:$J,"N/A")</f>
        <v>0</v>
      </c>
    </row>
  </sheetData>
  <mergeCells count="2">
    <mergeCell ref="A1:B1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C824-C518-408E-8748-C4F8571978E1}">
  <dimension ref="A1:K29"/>
  <sheetViews>
    <sheetView topLeftCell="A23" workbookViewId="0">
      <selection activeCell="B24" sqref="B24"/>
    </sheetView>
  </sheetViews>
  <sheetFormatPr defaultRowHeight="14.5" x14ac:dyDescent="0.35"/>
  <cols>
    <col min="1" max="1" width="9.453125" customWidth="1"/>
    <col min="2" max="2" width="31.6328125" customWidth="1"/>
    <col min="3" max="3" width="14.7265625" customWidth="1"/>
    <col min="4" max="4" width="20.26953125" customWidth="1"/>
    <col min="5" max="5" width="14.453125" customWidth="1"/>
    <col min="6" max="6" width="16.54296875" customWidth="1"/>
    <col min="7" max="7" width="23.1796875" customWidth="1"/>
    <col min="8" max="8" width="23.453125" customWidth="1"/>
    <col min="9" max="9" width="23.81640625" customWidth="1"/>
    <col min="10" max="10" width="11.81640625" customWidth="1"/>
    <col min="11" max="11" width="19" customWidth="1"/>
  </cols>
  <sheetData>
    <row r="1" spans="1:11" ht="21" customHeight="1" x14ac:dyDescent="0.35">
      <c r="A1" s="40" t="s">
        <v>577</v>
      </c>
      <c r="B1" s="41"/>
      <c r="C1" s="41"/>
      <c r="D1" s="41"/>
      <c r="E1" s="41"/>
      <c r="F1" s="41"/>
      <c r="G1" s="41"/>
      <c r="H1" s="41"/>
      <c r="I1" s="41"/>
      <c r="J1" s="41"/>
      <c r="K1" s="42"/>
    </row>
    <row r="2" spans="1:11" s="16" customFormat="1" ht="17" x14ac:dyDescent="0.35">
      <c r="A2" s="2" t="s">
        <v>9</v>
      </c>
      <c r="B2" s="2" t="s">
        <v>10</v>
      </c>
      <c r="C2" s="2" t="s">
        <v>0</v>
      </c>
      <c r="D2" s="2" t="s">
        <v>1</v>
      </c>
      <c r="E2" s="2" t="s">
        <v>2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3</v>
      </c>
      <c r="K2" s="2" t="s">
        <v>4</v>
      </c>
    </row>
    <row r="3" spans="1:11" s="16" customFormat="1" x14ac:dyDescent="0.35">
      <c r="A3" s="37" t="s">
        <v>587</v>
      </c>
      <c r="B3" s="38"/>
      <c r="C3" s="38"/>
      <c r="D3" s="38"/>
      <c r="E3" s="38"/>
      <c r="F3" s="38"/>
      <c r="G3" s="38"/>
      <c r="H3" s="38"/>
      <c r="I3" s="38"/>
      <c r="J3" s="38"/>
      <c r="K3" s="39"/>
    </row>
    <row r="4" spans="1:11" s="16" customFormat="1" ht="29" x14ac:dyDescent="0.35">
      <c r="A4" s="18">
        <v>1</v>
      </c>
      <c r="B4" s="19" t="s">
        <v>588</v>
      </c>
      <c r="C4" s="18" t="s">
        <v>409</v>
      </c>
      <c r="D4" s="20" t="s">
        <v>467</v>
      </c>
      <c r="E4" s="18" t="s">
        <v>46</v>
      </c>
      <c r="F4" s="20" t="s">
        <v>468</v>
      </c>
      <c r="G4" s="20" t="s">
        <v>469</v>
      </c>
      <c r="H4" s="20" t="s">
        <v>470</v>
      </c>
      <c r="I4" s="20" t="s">
        <v>470</v>
      </c>
      <c r="J4" s="18" t="s">
        <v>19</v>
      </c>
      <c r="K4" s="19"/>
    </row>
    <row r="5" spans="1:11" s="16" customFormat="1" ht="43.5" x14ac:dyDescent="0.35">
      <c r="A5" s="18">
        <v>2</v>
      </c>
      <c r="B5" s="19" t="s">
        <v>588</v>
      </c>
      <c r="C5" s="18" t="s">
        <v>410</v>
      </c>
      <c r="D5" s="20" t="s">
        <v>413</v>
      </c>
      <c r="E5" s="18" t="s">
        <v>46</v>
      </c>
      <c r="F5" s="20" t="s">
        <v>471</v>
      </c>
      <c r="G5" s="20" t="s">
        <v>472</v>
      </c>
      <c r="H5" s="20" t="s">
        <v>473</v>
      </c>
      <c r="I5" s="20" t="s">
        <v>473</v>
      </c>
      <c r="J5" s="18" t="s">
        <v>19</v>
      </c>
      <c r="K5" s="19"/>
    </row>
    <row r="6" spans="1:11" s="16" customFormat="1" ht="43.5" x14ac:dyDescent="0.35">
      <c r="A6" s="18">
        <v>3</v>
      </c>
      <c r="B6" s="19" t="s">
        <v>588</v>
      </c>
      <c r="C6" s="18" t="s">
        <v>474</v>
      </c>
      <c r="D6" s="20" t="s">
        <v>475</v>
      </c>
      <c r="E6" s="18" t="s">
        <v>47</v>
      </c>
      <c r="F6" s="20" t="s">
        <v>468</v>
      </c>
      <c r="G6" s="20" t="s">
        <v>476</v>
      </c>
      <c r="H6" s="20" t="s">
        <v>477</v>
      </c>
      <c r="I6" s="20" t="s">
        <v>477</v>
      </c>
      <c r="J6" s="18" t="s">
        <v>19</v>
      </c>
      <c r="K6" s="19"/>
    </row>
    <row r="7" spans="1:11" s="16" customFormat="1" x14ac:dyDescent="0.35">
      <c r="A7" s="43" t="s">
        <v>418</v>
      </c>
      <c r="B7" s="43"/>
      <c r="C7" s="43"/>
      <c r="D7" s="43"/>
      <c r="E7" s="43"/>
      <c r="F7" s="43"/>
      <c r="G7" s="43"/>
      <c r="H7" s="43"/>
      <c r="I7" s="43"/>
      <c r="J7" s="43"/>
      <c r="K7" s="43"/>
    </row>
    <row r="8" spans="1:11" s="16" customFormat="1" ht="43.5" x14ac:dyDescent="0.35">
      <c r="A8" s="18">
        <v>4</v>
      </c>
      <c r="B8" s="19" t="s">
        <v>411</v>
      </c>
      <c r="C8" s="18" t="s">
        <v>412</v>
      </c>
      <c r="D8" s="20" t="s">
        <v>478</v>
      </c>
      <c r="E8" s="18" t="s">
        <v>46</v>
      </c>
      <c r="F8" s="20" t="s">
        <v>479</v>
      </c>
      <c r="G8" s="20" t="s">
        <v>480</v>
      </c>
      <c r="H8" s="20" t="s">
        <v>481</v>
      </c>
      <c r="I8" s="20" t="s">
        <v>481</v>
      </c>
      <c r="J8" s="18" t="s">
        <v>19</v>
      </c>
      <c r="K8" s="19"/>
    </row>
    <row r="9" spans="1:11" s="16" customFormat="1" ht="58" x14ac:dyDescent="0.35">
      <c r="A9" s="18">
        <v>5</v>
      </c>
      <c r="B9" s="19" t="s">
        <v>411</v>
      </c>
      <c r="C9" s="18" t="s">
        <v>416</v>
      </c>
      <c r="D9" s="20" t="s">
        <v>482</v>
      </c>
      <c r="E9" s="18" t="s">
        <v>46</v>
      </c>
      <c r="F9" s="20" t="s">
        <v>479</v>
      </c>
      <c r="G9" s="20" t="s">
        <v>483</v>
      </c>
      <c r="H9" s="20" t="s">
        <v>484</v>
      </c>
      <c r="I9" s="20" t="s">
        <v>541</v>
      </c>
      <c r="J9" s="18" t="s">
        <v>19</v>
      </c>
      <c r="K9" s="19"/>
    </row>
    <row r="10" spans="1:11" s="16" customFormat="1" ht="101.5" x14ac:dyDescent="0.35">
      <c r="A10" s="18">
        <v>6</v>
      </c>
      <c r="B10" s="19" t="s">
        <v>411</v>
      </c>
      <c r="C10" s="18" t="s">
        <v>417</v>
      </c>
      <c r="D10" s="20" t="s">
        <v>414</v>
      </c>
      <c r="E10" s="18" t="s">
        <v>47</v>
      </c>
      <c r="F10" s="20" t="s">
        <v>485</v>
      </c>
      <c r="G10" s="20" t="s">
        <v>415</v>
      </c>
      <c r="H10" s="20" t="s">
        <v>486</v>
      </c>
      <c r="I10" s="20" t="s">
        <v>542</v>
      </c>
      <c r="J10" s="18" t="s">
        <v>20</v>
      </c>
      <c r="K10" s="20" t="s">
        <v>589</v>
      </c>
    </row>
    <row r="11" spans="1:11" s="16" customFormat="1" ht="101.5" x14ac:dyDescent="0.35">
      <c r="A11" s="18">
        <v>7</v>
      </c>
      <c r="B11" s="19" t="s">
        <v>411</v>
      </c>
      <c r="C11" s="18" t="s">
        <v>487</v>
      </c>
      <c r="D11" s="20" t="s">
        <v>488</v>
      </c>
      <c r="E11" s="18" t="s">
        <v>46</v>
      </c>
      <c r="F11" s="20" t="s">
        <v>489</v>
      </c>
      <c r="G11" s="20" t="s">
        <v>490</v>
      </c>
      <c r="H11" s="20" t="s">
        <v>491</v>
      </c>
      <c r="I11" s="20" t="s">
        <v>543</v>
      </c>
      <c r="J11" s="18" t="s">
        <v>19</v>
      </c>
      <c r="K11" s="19"/>
    </row>
    <row r="12" spans="1:11" x14ac:dyDescent="0.35">
      <c r="A12" s="43" t="s">
        <v>419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s="16" customFormat="1" ht="58" x14ac:dyDescent="0.35">
      <c r="A13" s="18">
        <v>8</v>
      </c>
      <c r="B13" s="19" t="s">
        <v>492</v>
      </c>
      <c r="C13" s="18" t="s">
        <v>420</v>
      </c>
      <c r="D13" s="20" t="s">
        <v>545</v>
      </c>
      <c r="E13" s="18" t="s">
        <v>46</v>
      </c>
      <c r="F13" s="20" t="s">
        <v>493</v>
      </c>
      <c r="G13" s="20" t="s">
        <v>494</v>
      </c>
      <c r="H13" s="20" t="s">
        <v>495</v>
      </c>
      <c r="I13" s="20" t="s">
        <v>544</v>
      </c>
      <c r="J13" s="18" t="s">
        <v>19</v>
      </c>
      <c r="K13" s="19"/>
    </row>
    <row r="14" spans="1:11" s="16" customFormat="1" ht="58" x14ac:dyDescent="0.35">
      <c r="A14" s="18">
        <v>9</v>
      </c>
      <c r="B14" s="19" t="s">
        <v>492</v>
      </c>
      <c r="C14" s="18" t="s">
        <v>421</v>
      </c>
      <c r="D14" s="20" t="s">
        <v>546</v>
      </c>
      <c r="E14" s="18" t="s">
        <v>46</v>
      </c>
      <c r="F14" s="20" t="s">
        <v>493</v>
      </c>
      <c r="G14" s="20" t="s">
        <v>496</v>
      </c>
      <c r="H14" s="20" t="s">
        <v>495</v>
      </c>
      <c r="I14" s="20" t="s">
        <v>547</v>
      </c>
      <c r="J14" s="18" t="s">
        <v>19</v>
      </c>
      <c r="K14" s="19"/>
    </row>
    <row r="15" spans="1:11" s="16" customFormat="1" ht="43.5" x14ac:dyDescent="0.35">
      <c r="A15" s="18">
        <v>10</v>
      </c>
      <c r="B15" s="19" t="s">
        <v>492</v>
      </c>
      <c r="C15" s="18" t="s">
        <v>422</v>
      </c>
      <c r="D15" s="20" t="s">
        <v>497</v>
      </c>
      <c r="E15" s="18" t="s">
        <v>47</v>
      </c>
      <c r="F15" s="20" t="s">
        <v>549</v>
      </c>
      <c r="G15" s="20" t="s">
        <v>499</v>
      </c>
      <c r="H15" s="20" t="s">
        <v>498</v>
      </c>
      <c r="I15" s="20" t="s">
        <v>548</v>
      </c>
      <c r="J15" s="18" t="s">
        <v>19</v>
      </c>
      <c r="K15" s="19"/>
    </row>
    <row r="16" spans="1:11" x14ac:dyDescent="0.35">
      <c r="A16" s="43" t="s">
        <v>423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</row>
    <row r="17" spans="1:11" s="16" customFormat="1" ht="72.5" x14ac:dyDescent="0.35">
      <c r="A17" s="18">
        <v>11</v>
      </c>
      <c r="B17" s="19" t="s">
        <v>424</v>
      </c>
      <c r="C17" s="18" t="s">
        <v>428</v>
      </c>
      <c r="D17" s="20" t="s">
        <v>500</v>
      </c>
      <c r="E17" s="18" t="s">
        <v>46</v>
      </c>
      <c r="F17" s="20" t="s">
        <v>303</v>
      </c>
      <c r="G17" s="20" t="s">
        <v>334</v>
      </c>
      <c r="H17" s="20" t="s">
        <v>501</v>
      </c>
      <c r="I17" s="20" t="s">
        <v>550</v>
      </c>
      <c r="J17" s="18" t="s">
        <v>19</v>
      </c>
      <c r="K17" s="19"/>
    </row>
    <row r="18" spans="1:11" s="16" customFormat="1" ht="43.5" x14ac:dyDescent="0.35">
      <c r="A18" s="18">
        <v>12</v>
      </c>
      <c r="B18" s="19" t="s">
        <v>424</v>
      </c>
      <c r="C18" s="18" t="s">
        <v>429</v>
      </c>
      <c r="D18" s="20" t="s">
        <v>502</v>
      </c>
      <c r="E18" s="18" t="s">
        <v>46</v>
      </c>
      <c r="F18" s="20" t="s">
        <v>503</v>
      </c>
      <c r="G18" s="20" t="s">
        <v>504</v>
      </c>
      <c r="H18" s="20" t="s">
        <v>505</v>
      </c>
      <c r="I18" s="20" t="s">
        <v>551</v>
      </c>
      <c r="J18" s="18" t="s">
        <v>19</v>
      </c>
      <c r="K18" s="19"/>
    </row>
    <row r="19" spans="1:11" s="16" customFormat="1" ht="58" x14ac:dyDescent="0.35">
      <c r="A19" s="18">
        <v>13</v>
      </c>
      <c r="B19" s="19" t="s">
        <v>424</v>
      </c>
      <c r="C19" s="18" t="s">
        <v>430</v>
      </c>
      <c r="D19" s="20" t="s">
        <v>506</v>
      </c>
      <c r="E19" s="18" t="s">
        <v>46</v>
      </c>
      <c r="F19" s="20" t="s">
        <v>507</v>
      </c>
      <c r="G19" s="20" t="s">
        <v>504</v>
      </c>
      <c r="H19" s="20" t="s">
        <v>508</v>
      </c>
      <c r="I19" s="20" t="s">
        <v>551</v>
      </c>
      <c r="J19" s="18" t="s">
        <v>20</v>
      </c>
      <c r="K19" s="20" t="s">
        <v>591</v>
      </c>
    </row>
    <row r="20" spans="1:11" s="16" customFormat="1" ht="72.5" x14ac:dyDescent="0.35">
      <c r="A20" s="18">
        <v>14</v>
      </c>
      <c r="B20" s="19" t="s">
        <v>424</v>
      </c>
      <c r="C20" s="18" t="s">
        <v>512</v>
      </c>
      <c r="D20" s="20" t="s">
        <v>509</v>
      </c>
      <c r="E20" s="18" t="s">
        <v>47</v>
      </c>
      <c r="F20" s="20" t="s">
        <v>552</v>
      </c>
      <c r="G20" s="20" t="s">
        <v>510</v>
      </c>
      <c r="H20" s="20" t="s">
        <v>511</v>
      </c>
      <c r="I20" s="20" t="s">
        <v>553</v>
      </c>
      <c r="J20" s="18" t="s">
        <v>19</v>
      </c>
      <c r="K20" s="19"/>
    </row>
    <row r="21" spans="1:11" x14ac:dyDescent="0.35">
      <c r="A21" s="43" t="s">
        <v>425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spans="1:11" s="16" customFormat="1" ht="43.5" x14ac:dyDescent="0.35">
      <c r="A22" s="18">
        <v>15</v>
      </c>
      <c r="B22" s="19" t="s">
        <v>426</v>
      </c>
      <c r="C22" s="18" t="s">
        <v>427</v>
      </c>
      <c r="D22" s="20" t="s">
        <v>513</v>
      </c>
      <c r="E22" s="18" t="s">
        <v>46</v>
      </c>
      <c r="F22" s="20" t="s">
        <v>514</v>
      </c>
      <c r="G22" s="20" t="s">
        <v>296</v>
      </c>
      <c r="H22" s="20" t="s">
        <v>515</v>
      </c>
      <c r="I22" s="20" t="s">
        <v>554</v>
      </c>
      <c r="J22" s="18" t="s">
        <v>19</v>
      </c>
      <c r="K22" s="19"/>
    </row>
    <row r="23" spans="1:11" s="16" customFormat="1" ht="43.5" x14ac:dyDescent="0.35">
      <c r="A23" s="18">
        <v>16</v>
      </c>
      <c r="B23" s="19" t="s">
        <v>426</v>
      </c>
      <c r="C23" s="18" t="s">
        <v>431</v>
      </c>
      <c r="D23" s="20" t="s">
        <v>516</v>
      </c>
      <c r="E23" s="18" t="s">
        <v>46</v>
      </c>
      <c r="F23" s="20" t="s">
        <v>517</v>
      </c>
      <c r="G23" s="20" t="s">
        <v>296</v>
      </c>
      <c r="H23" s="20" t="s">
        <v>518</v>
      </c>
      <c r="I23" s="20" t="s">
        <v>555</v>
      </c>
      <c r="J23" s="18" t="s">
        <v>19</v>
      </c>
      <c r="K23" s="19"/>
    </row>
    <row r="24" spans="1:11" s="16" customFormat="1" ht="29" x14ac:dyDescent="0.35">
      <c r="A24" s="18">
        <v>17</v>
      </c>
      <c r="B24" s="19" t="s">
        <v>426</v>
      </c>
      <c r="C24" s="18" t="s">
        <v>432</v>
      </c>
      <c r="D24" s="20" t="s">
        <v>519</v>
      </c>
      <c r="E24" s="18" t="s">
        <v>47</v>
      </c>
      <c r="F24" s="20" t="s">
        <v>520</v>
      </c>
      <c r="G24" s="20" t="s">
        <v>521</v>
      </c>
      <c r="H24" s="20" t="s">
        <v>522</v>
      </c>
      <c r="I24" s="20" t="s">
        <v>556</v>
      </c>
      <c r="J24" s="18" t="s">
        <v>19</v>
      </c>
      <c r="K24" s="19"/>
    </row>
    <row r="25" spans="1:11" s="16" customFormat="1" ht="29" x14ac:dyDescent="0.35">
      <c r="A25" s="18">
        <v>18</v>
      </c>
      <c r="B25" s="19" t="s">
        <v>426</v>
      </c>
      <c r="C25" s="18" t="s">
        <v>526</v>
      </c>
      <c r="D25" s="20" t="s">
        <v>523</v>
      </c>
      <c r="E25" s="18" t="s">
        <v>46</v>
      </c>
      <c r="F25" s="20" t="s">
        <v>524</v>
      </c>
      <c r="G25" s="20" t="s">
        <v>153</v>
      </c>
      <c r="H25" s="20" t="s">
        <v>525</v>
      </c>
      <c r="I25" s="20" t="s">
        <v>557</v>
      </c>
      <c r="J25" s="18" t="s">
        <v>19</v>
      </c>
      <c r="K25" s="19"/>
    </row>
    <row r="26" spans="1:11" x14ac:dyDescent="0.35">
      <c r="A26" s="43" t="s">
        <v>581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</row>
    <row r="27" spans="1:11" s="16" customFormat="1" ht="43.5" x14ac:dyDescent="0.35">
      <c r="A27" s="18">
        <v>19</v>
      </c>
      <c r="B27" s="19" t="s">
        <v>433</v>
      </c>
      <c r="C27" s="18" t="s">
        <v>434</v>
      </c>
      <c r="D27" s="20" t="s">
        <v>527</v>
      </c>
      <c r="E27" s="18" t="s">
        <v>46</v>
      </c>
      <c r="F27" s="20" t="s">
        <v>485</v>
      </c>
      <c r="G27" s="20" t="s">
        <v>528</v>
      </c>
      <c r="H27" s="20" t="s">
        <v>529</v>
      </c>
      <c r="I27" s="20" t="s">
        <v>529</v>
      </c>
      <c r="J27" s="18" t="s">
        <v>19</v>
      </c>
      <c r="K27" s="19"/>
    </row>
    <row r="28" spans="1:11" s="16" customFormat="1" ht="29" x14ac:dyDescent="0.35">
      <c r="A28" s="18">
        <v>20</v>
      </c>
      <c r="B28" s="19" t="s">
        <v>433</v>
      </c>
      <c r="C28" s="18" t="s">
        <v>435</v>
      </c>
      <c r="D28" s="20" t="s">
        <v>530</v>
      </c>
      <c r="E28" s="18" t="s">
        <v>46</v>
      </c>
      <c r="F28" s="20" t="s">
        <v>514</v>
      </c>
      <c r="G28" s="20" t="s">
        <v>531</v>
      </c>
      <c r="H28" s="20" t="s">
        <v>532</v>
      </c>
      <c r="I28" s="20" t="s">
        <v>532</v>
      </c>
      <c r="J28" s="18" t="s">
        <v>19</v>
      </c>
      <c r="K28" s="19"/>
    </row>
    <row r="29" spans="1:11" s="16" customFormat="1" ht="43.5" x14ac:dyDescent="0.35">
      <c r="A29" s="18">
        <v>21</v>
      </c>
      <c r="B29" s="19" t="s">
        <v>433</v>
      </c>
      <c r="C29" s="18" t="s">
        <v>537</v>
      </c>
      <c r="D29" s="20" t="s">
        <v>533</v>
      </c>
      <c r="E29" s="18" t="s">
        <v>46</v>
      </c>
      <c r="F29" s="20" t="s">
        <v>534</v>
      </c>
      <c r="G29" s="20" t="s">
        <v>535</v>
      </c>
      <c r="H29" s="20" t="s">
        <v>536</v>
      </c>
      <c r="I29" s="20" t="s">
        <v>536</v>
      </c>
      <c r="J29" s="18" t="s">
        <v>19</v>
      </c>
      <c r="K29" s="19"/>
    </row>
  </sheetData>
  <mergeCells count="7">
    <mergeCell ref="A3:K3"/>
    <mergeCell ref="A1:K1"/>
    <mergeCell ref="A26:K26"/>
    <mergeCell ref="A7:K7"/>
    <mergeCell ref="A12:K12"/>
    <mergeCell ref="A16:K16"/>
    <mergeCell ref="A21:K21"/>
  </mergeCells>
  <phoneticPr fontId="4" type="noConversion"/>
  <conditionalFormatting sqref="E1:E29">
    <cfRule type="cellIs" dxfId="26" priority="3" stopIfTrue="1" operator="equal">
      <formula>"LOW"</formula>
    </cfRule>
    <cfRule type="cellIs" dxfId="25" priority="4" stopIfTrue="1" operator="equal">
      <formula>"MEDIUM"</formula>
    </cfRule>
    <cfRule type="cellIs" dxfId="24" priority="5" stopIfTrue="1" operator="equal">
      <formula>"HIGH"</formula>
    </cfRule>
  </conditionalFormatting>
  <conditionalFormatting sqref="J1:J29">
    <cfRule type="cellIs" dxfId="23" priority="6" stopIfTrue="1" operator="equal">
      <formula>"N/A"</formula>
    </cfRule>
    <cfRule type="cellIs" dxfId="22" priority="7" stopIfTrue="1" operator="equal">
      <formula>"SKIPPED"</formula>
    </cfRule>
    <cfRule type="cellIs" dxfId="21" priority="8" stopIfTrue="1" operator="equal">
      <formula>"BLOCKED"</formula>
    </cfRule>
    <cfRule type="cellIs" dxfId="20" priority="9" stopIfTrue="1" operator="equal">
      <formula>"FAIL"</formula>
    </cfRule>
    <cfRule type="cellIs" dxfId="19" priority="10" stopIfTrue="1" operator="equal">
      <formula>"PASS"</formula>
    </cfRule>
  </conditionalFormatting>
  <conditionalFormatting sqref="K1:K29">
    <cfRule type="cellIs" dxfId="18" priority="1" operator="equal">
      <formula>"PASS"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523C0E-C31B-4906-B9D0-D4EF424F02C8}">
          <x14:formula1>
            <xm:f>Guide!$A$17:$A$21</xm:f>
          </x14:formula1>
          <xm:sqref>J2 J27:J29 J4:J6 J8:J11 J17:J20 J13:J15 J22:J25</xm:sqref>
        </x14:dataValidation>
        <x14:dataValidation type="list" allowBlank="1" showInputMessage="1" showErrorMessage="1" xr:uid="{2133FB32-5319-4D43-A1FD-2E52E094808C}">
          <x14:formula1>
            <xm:f>Guide!$A$25:$A$27</xm:f>
          </x14:formula1>
          <xm:sqref>E27:E29 E4:E6 E8:E11 E17:E20 E13:E15 E22:E25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BF5A-8121-4C24-95F4-37199A27B25C}">
  <dimension ref="A1:K66"/>
  <sheetViews>
    <sheetView topLeftCell="A3" zoomScaleNormal="100" workbookViewId="0">
      <selection activeCell="F28" sqref="F28"/>
    </sheetView>
  </sheetViews>
  <sheetFormatPr defaultRowHeight="14.5" x14ac:dyDescent="0.35"/>
  <cols>
    <col min="1" max="1" width="4.453125" style="17" bestFit="1" customWidth="1"/>
    <col min="2" max="2" width="19.54296875" style="16" customWidth="1"/>
    <col min="3" max="3" width="12.81640625" style="16" bestFit="1" customWidth="1"/>
    <col min="4" max="4" width="37.6328125" style="16" customWidth="1"/>
    <col min="5" max="5" width="9.90625" style="17" customWidth="1"/>
    <col min="6" max="6" width="23.7265625" style="16" bestFit="1" customWidth="1"/>
    <col min="7" max="7" width="31.08984375" style="16" customWidth="1"/>
    <col min="8" max="8" width="39.7265625" style="16" customWidth="1"/>
    <col min="9" max="9" width="38.81640625" style="16" customWidth="1"/>
    <col min="10" max="10" width="7.08984375" style="17" bestFit="1" customWidth="1"/>
    <col min="11" max="11" width="30.26953125" style="16" customWidth="1"/>
    <col min="12" max="16384" width="8.7265625" style="16"/>
  </cols>
  <sheetData>
    <row r="1" spans="1:11" ht="22" customHeight="1" x14ac:dyDescent="0.35">
      <c r="A1" s="44" t="s">
        <v>579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spans="1:11" ht="17" x14ac:dyDescent="0.35">
      <c r="A2" s="2" t="s">
        <v>9</v>
      </c>
      <c r="B2" s="2" t="s">
        <v>10</v>
      </c>
      <c r="C2" s="2" t="s">
        <v>0</v>
      </c>
      <c r="D2" s="2" t="s">
        <v>1</v>
      </c>
      <c r="E2" s="2" t="s">
        <v>2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3</v>
      </c>
      <c r="K2" s="2" t="s">
        <v>4</v>
      </c>
    </row>
    <row r="3" spans="1:11" x14ac:dyDescent="0.35">
      <c r="A3" s="43" t="s">
        <v>11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ht="72.5" x14ac:dyDescent="0.35">
      <c r="A4" s="18">
        <v>1</v>
      </c>
      <c r="B4" s="19" t="s">
        <v>12</v>
      </c>
      <c r="C4" s="19" t="s">
        <v>13</v>
      </c>
      <c r="D4" s="19" t="s">
        <v>52</v>
      </c>
      <c r="E4" s="18" t="s">
        <v>46</v>
      </c>
      <c r="F4" s="20" t="s">
        <v>147</v>
      </c>
      <c r="G4" s="20" t="s">
        <v>390</v>
      </c>
      <c r="H4" s="20" t="s">
        <v>136</v>
      </c>
      <c r="I4" s="20" t="s">
        <v>135</v>
      </c>
      <c r="J4" s="18" t="s">
        <v>19</v>
      </c>
      <c r="K4" s="19"/>
    </row>
    <row r="5" spans="1:11" ht="58" x14ac:dyDescent="0.35">
      <c r="A5" s="18">
        <v>2</v>
      </c>
      <c r="B5" s="19" t="s">
        <v>12</v>
      </c>
      <c r="C5" s="19" t="s">
        <v>14</v>
      </c>
      <c r="D5" s="19" t="s">
        <v>53</v>
      </c>
      <c r="E5" s="18" t="s">
        <v>46</v>
      </c>
      <c r="F5" s="20" t="s">
        <v>147</v>
      </c>
      <c r="G5" s="20" t="s">
        <v>391</v>
      </c>
      <c r="H5" s="20" t="s">
        <v>396</v>
      </c>
      <c r="I5" s="20" t="s">
        <v>397</v>
      </c>
      <c r="J5" s="18" t="s">
        <v>19</v>
      </c>
      <c r="K5" s="19"/>
    </row>
    <row r="6" spans="1:11" ht="58" x14ac:dyDescent="0.35">
      <c r="A6" s="18">
        <v>3</v>
      </c>
      <c r="B6" s="19" t="s">
        <v>12</v>
      </c>
      <c r="C6" s="19" t="s">
        <v>15</v>
      </c>
      <c r="D6" s="19" t="s">
        <v>54</v>
      </c>
      <c r="E6" s="18" t="s">
        <v>46</v>
      </c>
      <c r="F6" s="20" t="s">
        <v>147</v>
      </c>
      <c r="G6" s="20" t="s">
        <v>392</v>
      </c>
      <c r="H6" s="20" t="s">
        <v>396</v>
      </c>
      <c r="I6" s="20" t="s">
        <v>398</v>
      </c>
      <c r="J6" s="18" t="s">
        <v>19</v>
      </c>
      <c r="K6" s="19"/>
    </row>
    <row r="7" spans="1:11" ht="58" x14ac:dyDescent="0.35">
      <c r="A7" s="18">
        <v>4</v>
      </c>
      <c r="B7" s="19" t="s">
        <v>12</v>
      </c>
      <c r="C7" s="19" t="s">
        <v>16</v>
      </c>
      <c r="D7" s="19" t="s">
        <v>55</v>
      </c>
      <c r="E7" s="18" t="s">
        <v>46</v>
      </c>
      <c r="F7" s="20" t="s">
        <v>147</v>
      </c>
      <c r="G7" s="20" t="s">
        <v>393</v>
      </c>
      <c r="H7" s="20" t="s">
        <v>396</v>
      </c>
      <c r="I7" s="20" t="s">
        <v>399</v>
      </c>
      <c r="J7" s="18" t="s">
        <v>19</v>
      </c>
      <c r="K7" s="19"/>
    </row>
    <row r="8" spans="1:11" ht="43.5" x14ac:dyDescent="0.35">
      <c r="A8" s="18">
        <v>5</v>
      </c>
      <c r="B8" s="19" t="s">
        <v>12</v>
      </c>
      <c r="C8" s="19" t="s">
        <v>17</v>
      </c>
      <c r="D8" s="19" t="s">
        <v>56</v>
      </c>
      <c r="E8" s="18" t="s">
        <v>46</v>
      </c>
      <c r="F8" s="20" t="s">
        <v>148</v>
      </c>
      <c r="G8" s="20" t="s">
        <v>394</v>
      </c>
      <c r="H8" s="20" t="s">
        <v>137</v>
      </c>
      <c r="I8" s="20" t="s">
        <v>389</v>
      </c>
      <c r="J8" s="18" t="s">
        <v>19</v>
      </c>
      <c r="K8" s="19"/>
    </row>
    <row r="9" spans="1:11" ht="58" x14ac:dyDescent="0.35">
      <c r="A9" s="18">
        <v>6</v>
      </c>
      <c r="B9" s="19" t="s">
        <v>12</v>
      </c>
      <c r="C9" s="19" t="s">
        <v>18</v>
      </c>
      <c r="D9" s="19" t="s">
        <v>57</v>
      </c>
      <c r="E9" s="18" t="s">
        <v>46</v>
      </c>
      <c r="F9" s="20" t="s">
        <v>148</v>
      </c>
      <c r="G9" s="20" t="s">
        <v>395</v>
      </c>
      <c r="H9" s="20" t="s">
        <v>139</v>
      </c>
      <c r="I9" s="20" t="s">
        <v>138</v>
      </c>
      <c r="J9" s="18" t="s">
        <v>19</v>
      </c>
      <c r="K9" s="19"/>
    </row>
    <row r="10" spans="1:11" x14ac:dyDescent="0.35">
      <c r="A10" s="43" t="s">
        <v>58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spans="1:11" ht="43.5" x14ac:dyDescent="0.35">
      <c r="A11" s="18">
        <v>7</v>
      </c>
      <c r="B11" s="19" t="s">
        <v>59</v>
      </c>
      <c r="C11" s="21" t="s">
        <v>60</v>
      </c>
      <c r="D11" s="19" t="s">
        <v>63</v>
      </c>
      <c r="E11" s="18" t="s">
        <v>46</v>
      </c>
      <c r="F11" s="20" t="s">
        <v>149</v>
      </c>
      <c r="G11" s="20" t="s">
        <v>84</v>
      </c>
      <c r="H11" s="20" t="s">
        <v>157</v>
      </c>
      <c r="I11" s="20" t="s">
        <v>158</v>
      </c>
      <c r="J11" s="18" t="s">
        <v>19</v>
      </c>
      <c r="K11" s="19"/>
    </row>
    <row r="12" spans="1:11" ht="29" x14ac:dyDescent="0.35">
      <c r="A12" s="18">
        <v>8</v>
      </c>
      <c r="B12" s="19" t="s">
        <v>59</v>
      </c>
      <c r="C12" s="21" t="s">
        <v>61</v>
      </c>
      <c r="D12" s="19" t="s">
        <v>64</v>
      </c>
      <c r="E12" s="18" t="s">
        <v>47</v>
      </c>
      <c r="F12" s="20" t="s">
        <v>149</v>
      </c>
      <c r="G12" s="20" t="s">
        <v>76</v>
      </c>
      <c r="H12" s="19" t="s">
        <v>69</v>
      </c>
      <c r="I12" s="19" t="s">
        <v>69</v>
      </c>
      <c r="J12" s="18" t="s">
        <v>19</v>
      </c>
      <c r="K12" s="19"/>
    </row>
    <row r="13" spans="1:11" ht="29" x14ac:dyDescent="0.35">
      <c r="A13" s="18">
        <v>9</v>
      </c>
      <c r="B13" s="19" t="s">
        <v>59</v>
      </c>
      <c r="C13" s="21" t="s">
        <v>62</v>
      </c>
      <c r="D13" s="19" t="s">
        <v>65</v>
      </c>
      <c r="E13" s="18" t="s">
        <v>47</v>
      </c>
      <c r="F13" s="20" t="s">
        <v>149</v>
      </c>
      <c r="G13" s="20" t="s">
        <v>78</v>
      </c>
      <c r="H13" s="19" t="s">
        <v>68</v>
      </c>
      <c r="I13" s="19" t="s">
        <v>68</v>
      </c>
      <c r="J13" s="18" t="s">
        <v>19</v>
      </c>
      <c r="K13" s="19"/>
    </row>
    <row r="14" spans="1:11" ht="29" x14ac:dyDescent="0.35">
      <c r="A14" s="18">
        <v>10</v>
      </c>
      <c r="B14" s="19" t="s">
        <v>59</v>
      </c>
      <c r="C14" s="21" t="s">
        <v>70</v>
      </c>
      <c r="D14" s="19" t="s">
        <v>66</v>
      </c>
      <c r="E14" s="18" t="s">
        <v>47</v>
      </c>
      <c r="F14" s="20" t="s">
        <v>149</v>
      </c>
      <c r="G14" s="20" t="s">
        <v>77</v>
      </c>
      <c r="H14" s="19" t="s">
        <v>67</v>
      </c>
      <c r="I14" s="19" t="s">
        <v>67</v>
      </c>
      <c r="J14" s="18" t="s">
        <v>19</v>
      </c>
      <c r="K14" s="19"/>
    </row>
    <row r="15" spans="1:11" ht="29" x14ac:dyDescent="0.35">
      <c r="A15" s="18">
        <v>11</v>
      </c>
      <c r="B15" s="19" t="s">
        <v>59</v>
      </c>
      <c r="C15" s="21" t="s">
        <v>71</v>
      </c>
      <c r="D15" s="19" t="s">
        <v>79</v>
      </c>
      <c r="E15" s="18" t="s">
        <v>47</v>
      </c>
      <c r="F15" s="20" t="s">
        <v>149</v>
      </c>
      <c r="G15" s="20" t="s">
        <v>80</v>
      </c>
      <c r="H15" s="19" t="s">
        <v>81</v>
      </c>
      <c r="I15" s="19" t="s">
        <v>81</v>
      </c>
      <c r="J15" s="18" t="s">
        <v>19</v>
      </c>
      <c r="K15" s="19"/>
    </row>
    <row r="16" spans="1:11" ht="43.5" x14ac:dyDescent="0.35">
      <c r="A16" s="18">
        <v>12</v>
      </c>
      <c r="B16" s="19" t="s">
        <v>59</v>
      </c>
      <c r="C16" s="21" t="s">
        <v>72</v>
      </c>
      <c r="D16" s="20" t="s">
        <v>125</v>
      </c>
      <c r="E16" s="18" t="s">
        <v>46</v>
      </c>
      <c r="F16" s="20" t="s">
        <v>149</v>
      </c>
      <c r="G16" s="20" t="s">
        <v>126</v>
      </c>
      <c r="H16" s="20" t="s">
        <v>133</v>
      </c>
      <c r="I16" s="20" t="s">
        <v>127</v>
      </c>
      <c r="J16" s="18" t="s">
        <v>19</v>
      </c>
      <c r="K16" s="19"/>
    </row>
    <row r="17" spans="1:11" ht="43.5" x14ac:dyDescent="0.35">
      <c r="A17" s="18">
        <v>13</v>
      </c>
      <c r="B17" s="19" t="s">
        <v>59</v>
      </c>
      <c r="C17" s="21" t="s">
        <v>119</v>
      </c>
      <c r="D17" s="20" t="s">
        <v>118</v>
      </c>
      <c r="E17" s="18" t="s">
        <v>46</v>
      </c>
      <c r="F17" s="20" t="s">
        <v>149</v>
      </c>
      <c r="G17" s="20" t="s">
        <v>124</v>
      </c>
      <c r="H17" s="20" t="s">
        <v>133</v>
      </c>
      <c r="I17" s="20" t="s">
        <v>128</v>
      </c>
      <c r="J17" s="18" t="s">
        <v>20</v>
      </c>
      <c r="K17" s="20" t="s">
        <v>597</v>
      </c>
    </row>
    <row r="18" spans="1:11" ht="58" x14ac:dyDescent="0.35">
      <c r="A18" s="18">
        <v>14</v>
      </c>
      <c r="B18" s="19" t="s">
        <v>59</v>
      </c>
      <c r="C18" s="21" t="s">
        <v>120</v>
      </c>
      <c r="D18" s="20" t="s">
        <v>122</v>
      </c>
      <c r="E18" s="18" t="s">
        <v>46</v>
      </c>
      <c r="F18" s="20" t="s">
        <v>149</v>
      </c>
      <c r="G18" s="20" t="s">
        <v>129</v>
      </c>
      <c r="H18" s="20" t="s">
        <v>133</v>
      </c>
      <c r="I18" s="20" t="s">
        <v>130</v>
      </c>
      <c r="J18" s="18" t="s">
        <v>20</v>
      </c>
      <c r="K18" s="20" t="s">
        <v>597</v>
      </c>
    </row>
    <row r="19" spans="1:11" ht="87" x14ac:dyDescent="0.35">
      <c r="A19" s="18">
        <v>15</v>
      </c>
      <c r="B19" s="19" t="s">
        <v>59</v>
      </c>
      <c r="C19" s="21" t="s">
        <v>121</v>
      </c>
      <c r="D19" s="20" t="s">
        <v>123</v>
      </c>
      <c r="E19" s="18" t="s">
        <v>47</v>
      </c>
      <c r="F19" s="20" t="s">
        <v>149</v>
      </c>
      <c r="G19" s="20" t="s">
        <v>131</v>
      </c>
      <c r="H19" s="20" t="s">
        <v>132</v>
      </c>
      <c r="I19" s="20" t="s">
        <v>134</v>
      </c>
      <c r="J19" s="18" t="s">
        <v>19</v>
      </c>
      <c r="K19" s="19"/>
    </row>
    <row r="20" spans="1:11" x14ac:dyDescent="0.35">
      <c r="A20" s="43" t="s">
        <v>73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spans="1:11" ht="43.5" x14ac:dyDescent="0.35">
      <c r="A21" s="18">
        <v>16</v>
      </c>
      <c r="B21" s="19" t="s">
        <v>75</v>
      </c>
      <c r="C21" s="21" t="s">
        <v>74</v>
      </c>
      <c r="D21" s="20" t="s">
        <v>83</v>
      </c>
      <c r="E21" s="18" t="s">
        <v>46</v>
      </c>
      <c r="F21" s="20" t="s">
        <v>149</v>
      </c>
      <c r="G21" s="20" t="s">
        <v>85</v>
      </c>
      <c r="H21" s="20" t="s">
        <v>86</v>
      </c>
      <c r="I21" s="20" t="s">
        <v>86</v>
      </c>
      <c r="J21" s="18" t="s">
        <v>19</v>
      </c>
      <c r="K21" s="19"/>
    </row>
    <row r="22" spans="1:11" ht="29" x14ac:dyDescent="0.35">
      <c r="A22" s="18">
        <v>17</v>
      </c>
      <c r="B22" s="19" t="s">
        <v>75</v>
      </c>
      <c r="C22" s="21" t="s">
        <v>82</v>
      </c>
      <c r="D22" s="20" t="s">
        <v>87</v>
      </c>
      <c r="E22" s="18" t="s">
        <v>46</v>
      </c>
      <c r="F22" s="20" t="s">
        <v>150</v>
      </c>
      <c r="G22" s="20" t="s">
        <v>88</v>
      </c>
      <c r="H22" s="20" t="s">
        <v>89</v>
      </c>
      <c r="I22" s="20" t="s">
        <v>89</v>
      </c>
      <c r="J22" s="18" t="s">
        <v>19</v>
      </c>
      <c r="K22" s="19"/>
    </row>
    <row r="23" spans="1:11" ht="72.5" x14ac:dyDescent="0.35">
      <c r="A23" s="18">
        <v>18</v>
      </c>
      <c r="B23" s="19" t="s">
        <v>75</v>
      </c>
      <c r="C23" s="21" t="s">
        <v>90</v>
      </c>
      <c r="D23" s="20" t="s">
        <v>91</v>
      </c>
      <c r="E23" s="18" t="s">
        <v>47</v>
      </c>
      <c r="F23" s="20" t="s">
        <v>150</v>
      </c>
      <c r="G23" s="20" t="s">
        <v>92</v>
      </c>
      <c r="H23" s="20" t="s">
        <v>582</v>
      </c>
      <c r="I23" s="20" t="s">
        <v>582</v>
      </c>
      <c r="J23" s="18" t="s">
        <v>19</v>
      </c>
      <c r="K23" s="20" t="s">
        <v>583</v>
      </c>
    </row>
    <row r="24" spans="1:11" ht="29" x14ac:dyDescent="0.35">
      <c r="A24" s="18">
        <v>19</v>
      </c>
      <c r="B24" s="19" t="s">
        <v>75</v>
      </c>
      <c r="C24" s="21" t="s">
        <v>94</v>
      </c>
      <c r="D24" s="20" t="s">
        <v>93</v>
      </c>
      <c r="E24" s="18" t="s">
        <v>46</v>
      </c>
      <c r="F24" s="20" t="s">
        <v>150</v>
      </c>
      <c r="G24" s="20" t="s">
        <v>95</v>
      </c>
      <c r="H24" s="20" t="s">
        <v>165</v>
      </c>
      <c r="I24" s="20" t="s">
        <v>165</v>
      </c>
      <c r="J24" s="18" t="s">
        <v>19</v>
      </c>
      <c r="K24" s="19"/>
    </row>
    <row r="25" spans="1:11" ht="29" x14ac:dyDescent="0.35">
      <c r="A25" s="18">
        <v>20</v>
      </c>
      <c r="B25" s="19" t="s">
        <v>75</v>
      </c>
      <c r="C25" s="21" t="s">
        <v>97</v>
      </c>
      <c r="D25" s="20" t="s">
        <v>96</v>
      </c>
      <c r="E25" s="18" t="s">
        <v>46</v>
      </c>
      <c r="F25" s="20" t="s">
        <v>151</v>
      </c>
      <c r="G25" s="20" t="s">
        <v>98</v>
      </c>
      <c r="H25" s="20" t="s">
        <v>166</v>
      </c>
      <c r="I25" s="20" t="s">
        <v>166</v>
      </c>
      <c r="J25" s="18" t="s">
        <v>19</v>
      </c>
      <c r="K25" s="19"/>
    </row>
    <row r="26" spans="1:11" ht="29" x14ac:dyDescent="0.35">
      <c r="A26" s="18">
        <v>21</v>
      </c>
      <c r="B26" s="19" t="s">
        <v>75</v>
      </c>
      <c r="C26" s="21" t="s">
        <v>100</v>
      </c>
      <c r="D26" s="20" t="s">
        <v>99</v>
      </c>
      <c r="E26" s="18" t="s">
        <v>46</v>
      </c>
      <c r="F26" s="20" t="s">
        <v>152</v>
      </c>
      <c r="G26" s="20" t="s">
        <v>98</v>
      </c>
      <c r="H26" s="20" t="s">
        <v>101</v>
      </c>
      <c r="I26" s="20" t="s">
        <v>103</v>
      </c>
      <c r="J26" s="18" t="s">
        <v>19</v>
      </c>
      <c r="K26" s="19"/>
    </row>
    <row r="27" spans="1:11" ht="29" x14ac:dyDescent="0.35">
      <c r="A27" s="18">
        <v>22</v>
      </c>
      <c r="B27" s="19" t="s">
        <v>75</v>
      </c>
      <c r="C27" s="21" t="s">
        <v>106</v>
      </c>
      <c r="D27" s="20" t="s">
        <v>102</v>
      </c>
      <c r="E27" s="18" t="s">
        <v>46</v>
      </c>
      <c r="F27" s="20" t="s">
        <v>150</v>
      </c>
      <c r="G27" s="20" t="s">
        <v>104</v>
      </c>
      <c r="H27" s="20" t="s">
        <v>105</v>
      </c>
      <c r="I27" s="20" t="s">
        <v>105</v>
      </c>
      <c r="J27" s="18" t="s">
        <v>19</v>
      </c>
      <c r="K27" s="19"/>
    </row>
    <row r="28" spans="1:11" ht="29" x14ac:dyDescent="0.35">
      <c r="A28" s="18">
        <v>23</v>
      </c>
      <c r="B28" s="19" t="s">
        <v>75</v>
      </c>
      <c r="C28" s="21" t="s">
        <v>114</v>
      </c>
      <c r="D28" s="20" t="s">
        <v>107</v>
      </c>
      <c r="E28" s="18" t="s">
        <v>47</v>
      </c>
      <c r="F28" s="20" t="s">
        <v>150</v>
      </c>
      <c r="G28" s="20" t="s">
        <v>108</v>
      </c>
      <c r="H28" s="20" t="s">
        <v>109</v>
      </c>
      <c r="I28" s="20" t="s">
        <v>109</v>
      </c>
      <c r="J28" s="18" t="s">
        <v>19</v>
      </c>
      <c r="K28" s="19"/>
    </row>
    <row r="29" spans="1:11" ht="29" x14ac:dyDescent="0.35">
      <c r="A29" s="18">
        <v>24</v>
      </c>
      <c r="B29" s="19" t="s">
        <v>75</v>
      </c>
      <c r="C29" s="21" t="s">
        <v>115</v>
      </c>
      <c r="D29" s="20" t="s">
        <v>111</v>
      </c>
      <c r="E29" s="18" t="s">
        <v>47</v>
      </c>
      <c r="F29" s="20" t="s">
        <v>150</v>
      </c>
      <c r="G29" s="20" t="s">
        <v>112</v>
      </c>
      <c r="H29" s="20" t="s">
        <v>113</v>
      </c>
      <c r="I29" s="20" t="s">
        <v>113</v>
      </c>
      <c r="J29" s="18" t="s">
        <v>19</v>
      </c>
      <c r="K29" s="19"/>
    </row>
    <row r="30" spans="1:11" ht="29" x14ac:dyDescent="0.35">
      <c r="A30" s="18">
        <v>25</v>
      </c>
      <c r="B30" s="19" t="s">
        <v>75</v>
      </c>
      <c r="C30" s="21" t="s">
        <v>116</v>
      </c>
      <c r="D30" s="20" t="s">
        <v>110</v>
      </c>
      <c r="E30" s="18" t="s">
        <v>46</v>
      </c>
      <c r="F30" s="20" t="s">
        <v>150</v>
      </c>
      <c r="G30" s="20" t="s">
        <v>117</v>
      </c>
      <c r="H30" s="20" t="s">
        <v>515</v>
      </c>
      <c r="I30" s="20" t="s">
        <v>515</v>
      </c>
      <c r="J30" s="18" t="s">
        <v>19</v>
      </c>
      <c r="K30" s="19"/>
    </row>
    <row r="31" spans="1:11" x14ac:dyDescent="0.35">
      <c r="A31" s="43" t="s">
        <v>140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</row>
    <row r="32" spans="1:11" ht="29" x14ac:dyDescent="0.35">
      <c r="A32" s="18">
        <v>26</v>
      </c>
      <c r="B32" s="19" t="s">
        <v>141</v>
      </c>
      <c r="C32" s="21" t="s">
        <v>142</v>
      </c>
      <c r="D32" s="20" t="s">
        <v>144</v>
      </c>
      <c r="E32" s="18" t="s">
        <v>46</v>
      </c>
      <c r="F32" s="20" t="s">
        <v>146</v>
      </c>
      <c r="G32" s="20" t="s">
        <v>153</v>
      </c>
      <c r="H32" s="20" t="s">
        <v>156</v>
      </c>
      <c r="I32" s="20" t="s">
        <v>156</v>
      </c>
      <c r="J32" s="18" t="s">
        <v>19</v>
      </c>
      <c r="K32" s="19"/>
    </row>
    <row r="33" spans="1:11" ht="29" x14ac:dyDescent="0.35">
      <c r="A33" s="18">
        <v>27</v>
      </c>
      <c r="B33" s="19" t="s">
        <v>141</v>
      </c>
      <c r="C33" s="21" t="s">
        <v>143</v>
      </c>
      <c r="D33" s="20" t="s">
        <v>145</v>
      </c>
      <c r="E33" s="18" t="s">
        <v>46</v>
      </c>
      <c r="F33" s="20" t="s">
        <v>155</v>
      </c>
      <c r="G33" s="20" t="s">
        <v>154</v>
      </c>
      <c r="H33" s="20" t="s">
        <v>159</v>
      </c>
      <c r="I33" s="20" t="s">
        <v>159</v>
      </c>
      <c r="J33" s="18" t="s">
        <v>19</v>
      </c>
      <c r="K33" s="19"/>
    </row>
    <row r="34" spans="1:11" ht="29" x14ac:dyDescent="0.35">
      <c r="A34" s="18">
        <v>28</v>
      </c>
      <c r="B34" s="19" t="s">
        <v>141</v>
      </c>
      <c r="C34" s="21" t="s">
        <v>161</v>
      </c>
      <c r="D34" s="20" t="s">
        <v>160</v>
      </c>
      <c r="E34" s="18" t="s">
        <v>46</v>
      </c>
      <c r="F34" s="20" t="s">
        <v>162</v>
      </c>
      <c r="G34" s="20" t="s">
        <v>163</v>
      </c>
      <c r="H34" s="20" t="s">
        <v>164</v>
      </c>
      <c r="I34" s="20" t="s">
        <v>164</v>
      </c>
      <c r="J34" s="18" t="s">
        <v>19</v>
      </c>
      <c r="K34" s="19"/>
    </row>
    <row r="35" spans="1:11" ht="29" x14ac:dyDescent="0.35">
      <c r="A35" s="18">
        <v>29</v>
      </c>
      <c r="B35" s="19" t="s">
        <v>141</v>
      </c>
      <c r="C35" s="21" t="s">
        <v>171</v>
      </c>
      <c r="D35" s="20" t="s">
        <v>167</v>
      </c>
      <c r="E35" s="18" t="s">
        <v>46</v>
      </c>
      <c r="F35" s="20" t="s">
        <v>168</v>
      </c>
      <c r="G35" s="20" t="s">
        <v>169</v>
      </c>
      <c r="H35" s="20" t="s">
        <v>170</v>
      </c>
      <c r="I35" s="20" t="s">
        <v>170</v>
      </c>
      <c r="J35" s="18" t="s">
        <v>19</v>
      </c>
      <c r="K35" s="19"/>
    </row>
    <row r="36" spans="1:11" ht="29" x14ac:dyDescent="0.35">
      <c r="A36" s="18">
        <v>30</v>
      </c>
      <c r="B36" s="19" t="s">
        <v>141</v>
      </c>
      <c r="C36" s="21" t="s">
        <v>172</v>
      </c>
      <c r="D36" s="20" t="s">
        <v>194</v>
      </c>
      <c r="E36" s="18" t="s">
        <v>46</v>
      </c>
      <c r="F36" s="20" t="s">
        <v>162</v>
      </c>
      <c r="G36" s="20" t="s">
        <v>169</v>
      </c>
      <c r="H36" s="20" t="s">
        <v>195</v>
      </c>
      <c r="I36" s="20" t="s">
        <v>195</v>
      </c>
      <c r="J36" s="18" t="s">
        <v>19</v>
      </c>
      <c r="K36" s="19"/>
    </row>
    <row r="37" spans="1:11" ht="29" x14ac:dyDescent="0.35">
      <c r="A37" s="18">
        <v>31</v>
      </c>
      <c r="B37" s="19" t="s">
        <v>141</v>
      </c>
      <c r="C37" s="21" t="s">
        <v>173</v>
      </c>
      <c r="D37" s="20" t="s">
        <v>174</v>
      </c>
      <c r="E37" s="18" t="s">
        <v>46</v>
      </c>
      <c r="F37" s="20" t="s">
        <v>168</v>
      </c>
      <c r="G37" s="20" t="s">
        <v>175</v>
      </c>
      <c r="H37" s="20" t="s">
        <v>176</v>
      </c>
      <c r="I37" s="20" t="s">
        <v>176</v>
      </c>
      <c r="J37" s="18" t="s">
        <v>19</v>
      </c>
      <c r="K37" s="19"/>
    </row>
    <row r="38" spans="1:11" ht="29" x14ac:dyDescent="0.35">
      <c r="A38" s="18">
        <v>32</v>
      </c>
      <c r="B38" s="19" t="s">
        <v>141</v>
      </c>
      <c r="C38" s="21" t="s">
        <v>179</v>
      </c>
      <c r="D38" s="20" t="s">
        <v>177</v>
      </c>
      <c r="E38" s="18" t="s">
        <v>47</v>
      </c>
      <c r="F38" s="20" t="s">
        <v>162</v>
      </c>
      <c r="G38" s="20" t="s">
        <v>175</v>
      </c>
      <c r="H38" s="20" t="s">
        <v>178</v>
      </c>
      <c r="I38" s="20" t="s">
        <v>178</v>
      </c>
      <c r="J38" s="18" t="s">
        <v>19</v>
      </c>
      <c r="K38" s="19"/>
    </row>
    <row r="39" spans="1:11" ht="29" x14ac:dyDescent="0.35">
      <c r="A39" s="18">
        <v>33</v>
      </c>
      <c r="B39" s="19" t="s">
        <v>141</v>
      </c>
      <c r="C39" s="21" t="s">
        <v>180</v>
      </c>
      <c r="D39" s="20" t="s">
        <v>181</v>
      </c>
      <c r="E39" s="18" t="s">
        <v>46</v>
      </c>
      <c r="F39" s="20" t="s">
        <v>182</v>
      </c>
      <c r="G39" s="20" t="s">
        <v>183</v>
      </c>
      <c r="H39" s="20" t="s">
        <v>184</v>
      </c>
      <c r="I39" s="20" t="s">
        <v>184</v>
      </c>
      <c r="J39" s="18" t="s">
        <v>19</v>
      </c>
      <c r="K39" s="19"/>
    </row>
    <row r="40" spans="1:11" ht="29" x14ac:dyDescent="0.35">
      <c r="A40" s="18">
        <v>34</v>
      </c>
      <c r="B40" s="19" t="s">
        <v>141</v>
      </c>
      <c r="C40" s="21" t="s">
        <v>189</v>
      </c>
      <c r="D40" s="20" t="s">
        <v>185</v>
      </c>
      <c r="E40" s="18" t="s">
        <v>46</v>
      </c>
      <c r="F40" s="20" t="s">
        <v>191</v>
      </c>
      <c r="G40" s="20" t="s">
        <v>186</v>
      </c>
      <c r="H40" s="20" t="s">
        <v>187</v>
      </c>
      <c r="I40" s="20" t="s">
        <v>187</v>
      </c>
      <c r="J40" s="18" t="s">
        <v>19</v>
      </c>
      <c r="K40" s="19"/>
    </row>
    <row r="41" spans="1:11" ht="29" x14ac:dyDescent="0.35">
      <c r="A41" s="18">
        <v>35</v>
      </c>
      <c r="B41" s="19" t="s">
        <v>141</v>
      </c>
      <c r="C41" s="21" t="s">
        <v>190</v>
      </c>
      <c r="D41" s="20" t="s">
        <v>188</v>
      </c>
      <c r="E41" s="18" t="s">
        <v>47</v>
      </c>
      <c r="F41" s="20" t="s">
        <v>162</v>
      </c>
      <c r="G41" s="20" t="s">
        <v>192</v>
      </c>
      <c r="H41" s="20" t="s">
        <v>193</v>
      </c>
      <c r="I41" s="20" t="s">
        <v>193</v>
      </c>
      <c r="J41" s="18" t="s">
        <v>19</v>
      </c>
      <c r="K41" s="19"/>
    </row>
    <row r="42" spans="1:11" ht="43.5" x14ac:dyDescent="0.35">
      <c r="A42" s="18">
        <v>36</v>
      </c>
      <c r="B42" s="19" t="s">
        <v>141</v>
      </c>
      <c r="C42" s="21" t="s">
        <v>249</v>
      </c>
      <c r="D42" s="20" t="s">
        <v>246</v>
      </c>
      <c r="E42" s="18" t="s">
        <v>46</v>
      </c>
      <c r="F42" s="20" t="s">
        <v>247</v>
      </c>
      <c r="G42" s="20" t="s">
        <v>250</v>
      </c>
      <c r="H42" s="20" t="s">
        <v>248</v>
      </c>
      <c r="I42" s="20" t="s">
        <v>248</v>
      </c>
      <c r="J42" s="18" t="s">
        <v>19</v>
      </c>
      <c r="K42" s="19"/>
    </row>
    <row r="43" spans="1:11" x14ac:dyDescent="0.35">
      <c r="A43" s="43" t="s">
        <v>196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</row>
    <row r="44" spans="1:11" ht="29" x14ac:dyDescent="0.35">
      <c r="A44" s="18">
        <v>37</v>
      </c>
      <c r="B44" s="19" t="s">
        <v>197</v>
      </c>
      <c r="C44" s="21" t="s">
        <v>198</v>
      </c>
      <c r="D44" s="20" t="s">
        <v>251</v>
      </c>
      <c r="E44" s="18" t="s">
        <v>46</v>
      </c>
      <c r="F44" s="20" t="s">
        <v>247</v>
      </c>
      <c r="G44" s="20" t="s">
        <v>252</v>
      </c>
      <c r="H44" s="20" t="s">
        <v>253</v>
      </c>
      <c r="I44" s="20" t="s">
        <v>255</v>
      </c>
      <c r="J44" s="18" t="s">
        <v>19</v>
      </c>
      <c r="K44" s="19"/>
    </row>
    <row r="45" spans="1:11" ht="72.5" x14ac:dyDescent="0.35">
      <c r="A45" s="18">
        <v>38</v>
      </c>
      <c r="B45" s="19" t="s">
        <v>197</v>
      </c>
      <c r="C45" s="21" t="s">
        <v>202</v>
      </c>
      <c r="D45" s="20" t="s">
        <v>199</v>
      </c>
      <c r="E45" s="18" t="s">
        <v>46</v>
      </c>
      <c r="F45" s="20" t="s">
        <v>162</v>
      </c>
      <c r="G45" s="20" t="s">
        <v>584</v>
      </c>
      <c r="H45" s="20" t="s">
        <v>200</v>
      </c>
      <c r="I45" s="20" t="s">
        <v>200</v>
      </c>
      <c r="J45" s="18" t="s">
        <v>19</v>
      </c>
      <c r="K45" s="19"/>
    </row>
    <row r="46" spans="1:11" ht="29" x14ac:dyDescent="0.35">
      <c r="A46" s="18">
        <v>39</v>
      </c>
      <c r="B46" s="19" t="s">
        <v>197</v>
      </c>
      <c r="C46" s="21" t="s">
        <v>207</v>
      </c>
      <c r="D46" s="20" t="s">
        <v>201</v>
      </c>
      <c r="E46" s="18" t="s">
        <v>46</v>
      </c>
      <c r="F46" s="20" t="s">
        <v>203</v>
      </c>
      <c r="G46" s="20" t="s">
        <v>204</v>
      </c>
      <c r="H46" s="20" t="s">
        <v>205</v>
      </c>
      <c r="I46" s="20" t="s">
        <v>258</v>
      </c>
      <c r="J46" s="18" t="s">
        <v>19</v>
      </c>
      <c r="K46" s="19"/>
    </row>
    <row r="47" spans="1:11" ht="29" x14ac:dyDescent="0.35">
      <c r="A47" s="18">
        <v>40</v>
      </c>
      <c r="B47" s="19" t="s">
        <v>197</v>
      </c>
      <c r="C47" s="21" t="s">
        <v>210</v>
      </c>
      <c r="D47" s="20" t="s">
        <v>206</v>
      </c>
      <c r="E47" s="18" t="s">
        <v>46</v>
      </c>
      <c r="F47" s="20" t="s">
        <v>203</v>
      </c>
      <c r="G47" s="20" t="s">
        <v>208</v>
      </c>
      <c r="H47" s="20" t="s">
        <v>205</v>
      </c>
      <c r="I47" s="20" t="s">
        <v>259</v>
      </c>
      <c r="J47" s="18" t="s">
        <v>19</v>
      </c>
      <c r="K47" s="19"/>
    </row>
    <row r="48" spans="1:11" ht="29" x14ac:dyDescent="0.35">
      <c r="A48" s="18">
        <v>41</v>
      </c>
      <c r="B48" s="19" t="s">
        <v>197</v>
      </c>
      <c r="C48" s="21" t="s">
        <v>213</v>
      </c>
      <c r="D48" s="20" t="s">
        <v>209</v>
      </c>
      <c r="E48" s="18" t="s">
        <v>46</v>
      </c>
      <c r="F48" s="20" t="s">
        <v>203</v>
      </c>
      <c r="G48" s="20" t="s">
        <v>211</v>
      </c>
      <c r="H48" s="20" t="s">
        <v>205</v>
      </c>
      <c r="I48" s="20" t="s">
        <v>260</v>
      </c>
      <c r="J48" s="18" t="s">
        <v>19</v>
      </c>
      <c r="K48" s="19"/>
    </row>
    <row r="49" spans="1:11" ht="29" x14ac:dyDescent="0.35">
      <c r="A49" s="18">
        <v>42</v>
      </c>
      <c r="B49" s="19" t="s">
        <v>197</v>
      </c>
      <c r="C49" s="21" t="s">
        <v>214</v>
      </c>
      <c r="D49" s="20" t="s">
        <v>212</v>
      </c>
      <c r="E49" s="18" t="s">
        <v>46</v>
      </c>
      <c r="F49" s="20" t="s">
        <v>203</v>
      </c>
      <c r="G49" s="20" t="s">
        <v>215</v>
      </c>
      <c r="H49" s="20" t="s">
        <v>205</v>
      </c>
      <c r="I49" s="20" t="s">
        <v>261</v>
      </c>
      <c r="J49" s="18" t="s">
        <v>19</v>
      </c>
      <c r="K49" s="19"/>
    </row>
    <row r="50" spans="1:11" ht="29" x14ac:dyDescent="0.35">
      <c r="A50" s="18">
        <v>43</v>
      </c>
      <c r="B50" s="19" t="s">
        <v>197</v>
      </c>
      <c r="C50" s="21" t="s">
        <v>218</v>
      </c>
      <c r="D50" s="20" t="s">
        <v>262</v>
      </c>
      <c r="E50" s="18" t="s">
        <v>46</v>
      </c>
      <c r="F50" s="20" t="s">
        <v>203</v>
      </c>
      <c r="G50" s="20" t="s">
        <v>215</v>
      </c>
      <c r="H50" s="20" t="s">
        <v>205</v>
      </c>
      <c r="I50" s="20" t="s">
        <v>267</v>
      </c>
      <c r="J50" s="18" t="s">
        <v>19</v>
      </c>
      <c r="K50" s="19"/>
    </row>
    <row r="51" spans="1:11" ht="43.5" x14ac:dyDescent="0.35">
      <c r="A51" s="18">
        <v>44</v>
      </c>
      <c r="B51" s="19" t="s">
        <v>197</v>
      </c>
      <c r="C51" s="21" t="s">
        <v>224</v>
      </c>
      <c r="D51" s="20" t="s">
        <v>263</v>
      </c>
      <c r="E51" s="18" t="s">
        <v>46</v>
      </c>
      <c r="F51" s="20" t="s">
        <v>203</v>
      </c>
      <c r="G51" s="20" t="s">
        <v>264</v>
      </c>
      <c r="H51" s="20" t="s">
        <v>265</v>
      </c>
      <c r="I51" s="20" t="s">
        <v>266</v>
      </c>
      <c r="J51" s="18" t="s">
        <v>19</v>
      </c>
      <c r="K51" s="19"/>
    </row>
    <row r="52" spans="1:11" ht="43.5" x14ac:dyDescent="0.35">
      <c r="A52" s="18">
        <v>45</v>
      </c>
      <c r="B52" s="19" t="s">
        <v>197</v>
      </c>
      <c r="C52" s="21" t="s">
        <v>228</v>
      </c>
      <c r="D52" s="20" t="s">
        <v>216</v>
      </c>
      <c r="E52" s="18" t="s">
        <v>47</v>
      </c>
      <c r="F52" s="20" t="s">
        <v>203</v>
      </c>
      <c r="G52" s="20" t="s">
        <v>217</v>
      </c>
      <c r="H52" s="20" t="s">
        <v>200</v>
      </c>
      <c r="I52" s="20" t="s">
        <v>200</v>
      </c>
      <c r="J52" s="18" t="s">
        <v>19</v>
      </c>
      <c r="K52" s="19"/>
    </row>
    <row r="53" spans="1:11" ht="29" x14ac:dyDescent="0.35">
      <c r="A53" s="18">
        <v>46</v>
      </c>
      <c r="B53" s="19" t="s">
        <v>197</v>
      </c>
      <c r="C53" s="21" t="s">
        <v>229</v>
      </c>
      <c r="D53" s="20" t="s">
        <v>256</v>
      </c>
      <c r="E53" s="18" t="s">
        <v>47</v>
      </c>
      <c r="F53" s="20" t="s">
        <v>203</v>
      </c>
      <c r="G53" s="20" t="s">
        <v>257</v>
      </c>
      <c r="H53" s="20" t="s">
        <v>200</v>
      </c>
      <c r="I53" s="20" t="s">
        <v>200</v>
      </c>
      <c r="J53" s="18" t="s">
        <v>19</v>
      </c>
      <c r="K53" s="19"/>
    </row>
    <row r="54" spans="1:11" ht="43.5" x14ac:dyDescent="0.35">
      <c r="A54" s="18">
        <v>47</v>
      </c>
      <c r="B54" s="19" t="s">
        <v>197</v>
      </c>
      <c r="C54" s="21" t="s">
        <v>230</v>
      </c>
      <c r="D54" s="20" t="s">
        <v>219</v>
      </c>
      <c r="E54" s="18" t="s">
        <v>46</v>
      </c>
      <c r="F54" s="20" t="s">
        <v>220</v>
      </c>
      <c r="G54" s="20" t="s">
        <v>221</v>
      </c>
      <c r="H54" s="20" t="s">
        <v>222</v>
      </c>
      <c r="I54" s="20" t="s">
        <v>222</v>
      </c>
      <c r="J54" s="18" t="s">
        <v>19</v>
      </c>
      <c r="K54" s="19"/>
    </row>
    <row r="55" spans="1:11" ht="29" x14ac:dyDescent="0.35">
      <c r="A55" s="18">
        <v>48</v>
      </c>
      <c r="B55" s="19" t="s">
        <v>197</v>
      </c>
      <c r="C55" s="21" t="s">
        <v>233</v>
      </c>
      <c r="D55" s="20" t="s">
        <v>270</v>
      </c>
      <c r="E55" s="18" t="s">
        <v>46</v>
      </c>
      <c r="F55" s="20" t="s">
        <v>220</v>
      </c>
      <c r="G55" s="20" t="s">
        <v>271</v>
      </c>
      <c r="H55" s="20" t="s">
        <v>205</v>
      </c>
      <c r="I55" s="20" t="s">
        <v>585</v>
      </c>
      <c r="J55" s="18" t="s">
        <v>19</v>
      </c>
      <c r="K55" s="19"/>
    </row>
    <row r="56" spans="1:11" ht="29" x14ac:dyDescent="0.35">
      <c r="A56" s="18">
        <v>49</v>
      </c>
      <c r="B56" s="19" t="s">
        <v>197</v>
      </c>
      <c r="C56" s="21" t="s">
        <v>239</v>
      </c>
      <c r="D56" s="20" t="s">
        <v>223</v>
      </c>
      <c r="E56" s="18" t="s">
        <v>46</v>
      </c>
      <c r="F56" s="20" t="s">
        <v>220</v>
      </c>
      <c r="G56" s="20" t="s">
        <v>225</v>
      </c>
      <c r="H56" s="20" t="s">
        <v>205</v>
      </c>
      <c r="I56" s="20" t="s">
        <v>276</v>
      </c>
      <c r="J56" s="18" t="s">
        <v>20</v>
      </c>
      <c r="K56" s="20" t="s">
        <v>593</v>
      </c>
    </row>
    <row r="57" spans="1:11" ht="29" x14ac:dyDescent="0.35">
      <c r="A57" s="18">
        <v>50</v>
      </c>
      <c r="B57" s="19" t="s">
        <v>197</v>
      </c>
      <c r="C57" s="21" t="s">
        <v>240</v>
      </c>
      <c r="D57" s="20" t="s">
        <v>273</v>
      </c>
      <c r="E57" s="18" t="s">
        <v>46</v>
      </c>
      <c r="F57" s="20" t="s">
        <v>220</v>
      </c>
      <c r="G57" s="20" t="s">
        <v>274</v>
      </c>
      <c r="H57" s="20" t="s">
        <v>205</v>
      </c>
      <c r="I57" s="20" t="s">
        <v>585</v>
      </c>
      <c r="J57" s="18" t="s">
        <v>19</v>
      </c>
      <c r="K57" s="19"/>
    </row>
    <row r="58" spans="1:11" ht="29" x14ac:dyDescent="0.35">
      <c r="A58" s="18">
        <v>51</v>
      </c>
      <c r="B58" s="19" t="s">
        <v>197</v>
      </c>
      <c r="C58" s="21" t="s">
        <v>254</v>
      </c>
      <c r="D58" s="20" t="s">
        <v>226</v>
      </c>
      <c r="E58" s="18" t="s">
        <v>46</v>
      </c>
      <c r="F58" s="20" t="s">
        <v>220</v>
      </c>
      <c r="G58" s="20" t="s">
        <v>227</v>
      </c>
      <c r="H58" s="20" t="s">
        <v>205</v>
      </c>
      <c r="I58" s="20" t="s">
        <v>585</v>
      </c>
      <c r="J58" s="18" t="s">
        <v>19</v>
      </c>
      <c r="K58" s="19"/>
    </row>
    <row r="59" spans="1:11" ht="29" x14ac:dyDescent="0.35">
      <c r="A59" s="18">
        <v>52</v>
      </c>
      <c r="B59" s="19" t="s">
        <v>197</v>
      </c>
      <c r="C59" s="21" t="s">
        <v>268</v>
      </c>
      <c r="D59" s="20" t="s">
        <v>231</v>
      </c>
      <c r="E59" s="18" t="s">
        <v>46</v>
      </c>
      <c r="F59" s="20" t="s">
        <v>220</v>
      </c>
      <c r="G59" s="20" t="s">
        <v>232</v>
      </c>
      <c r="H59" s="20" t="s">
        <v>205</v>
      </c>
      <c r="I59" s="20" t="s">
        <v>222</v>
      </c>
      <c r="J59" s="18" t="s">
        <v>20</v>
      </c>
      <c r="K59" s="20" t="s">
        <v>590</v>
      </c>
    </row>
    <row r="60" spans="1:11" ht="29" x14ac:dyDescent="0.35">
      <c r="A60" s="18">
        <v>53</v>
      </c>
      <c r="B60" s="19" t="s">
        <v>197</v>
      </c>
      <c r="C60" s="21" t="s">
        <v>269</v>
      </c>
      <c r="D60" s="20" t="s">
        <v>234</v>
      </c>
      <c r="E60" s="18" t="s">
        <v>46</v>
      </c>
      <c r="F60" s="20" t="s">
        <v>235</v>
      </c>
      <c r="G60" s="20" t="s">
        <v>236</v>
      </c>
      <c r="H60" s="20" t="s">
        <v>277</v>
      </c>
      <c r="I60" s="20" t="s">
        <v>277</v>
      </c>
      <c r="J60" s="18" t="s">
        <v>19</v>
      </c>
      <c r="K60" s="19"/>
    </row>
    <row r="61" spans="1:11" ht="29" x14ac:dyDescent="0.35">
      <c r="A61" s="18">
        <v>54</v>
      </c>
      <c r="B61" s="19" t="s">
        <v>197</v>
      </c>
      <c r="C61" s="21" t="s">
        <v>272</v>
      </c>
      <c r="D61" s="20" t="s">
        <v>237</v>
      </c>
      <c r="E61" s="18" t="s">
        <v>46</v>
      </c>
      <c r="F61" s="20" t="s">
        <v>241</v>
      </c>
      <c r="G61" s="20" t="s">
        <v>244</v>
      </c>
      <c r="H61" s="20" t="s">
        <v>278</v>
      </c>
      <c r="I61" s="20" t="s">
        <v>284</v>
      </c>
      <c r="J61" s="18" t="s">
        <v>19</v>
      </c>
      <c r="K61" s="19"/>
    </row>
    <row r="62" spans="1:11" ht="29" x14ac:dyDescent="0.35">
      <c r="A62" s="18">
        <v>55</v>
      </c>
      <c r="B62" s="19" t="s">
        <v>197</v>
      </c>
      <c r="C62" s="21" t="s">
        <v>275</v>
      </c>
      <c r="D62" s="20" t="s">
        <v>238</v>
      </c>
      <c r="E62" s="18" t="s">
        <v>46</v>
      </c>
      <c r="F62" s="20" t="s">
        <v>242</v>
      </c>
      <c r="G62" s="20" t="s">
        <v>243</v>
      </c>
      <c r="H62" s="20" t="s">
        <v>245</v>
      </c>
      <c r="I62" s="20" t="s">
        <v>245</v>
      </c>
      <c r="J62" s="18" t="s">
        <v>19</v>
      </c>
      <c r="K62" s="19"/>
    </row>
    <row r="63" spans="1:11" ht="29" x14ac:dyDescent="0.35">
      <c r="A63" s="18">
        <v>56</v>
      </c>
      <c r="B63" s="19" t="s">
        <v>197</v>
      </c>
      <c r="C63" s="21" t="s">
        <v>283</v>
      </c>
      <c r="D63" s="20" t="s">
        <v>279</v>
      </c>
      <c r="E63" s="18" t="s">
        <v>47</v>
      </c>
      <c r="F63" s="20" t="s">
        <v>280</v>
      </c>
      <c r="G63" s="20" t="s">
        <v>281</v>
      </c>
      <c r="H63" s="20" t="s">
        <v>282</v>
      </c>
      <c r="I63" s="20" t="s">
        <v>282</v>
      </c>
      <c r="J63" s="18" t="s">
        <v>19</v>
      </c>
      <c r="K63" s="19"/>
    </row>
    <row r="66" spans="2:2" x14ac:dyDescent="0.35">
      <c r="B66"/>
    </row>
  </sheetData>
  <mergeCells count="6">
    <mergeCell ref="A43:K43"/>
    <mergeCell ref="A1:K1"/>
    <mergeCell ref="A3:K3"/>
    <mergeCell ref="A10:K10"/>
    <mergeCell ref="A20:K20"/>
    <mergeCell ref="A31:K31"/>
  </mergeCells>
  <phoneticPr fontId="4" type="noConversion"/>
  <conditionalFormatting sqref="E1:E1048576">
    <cfRule type="cellIs" dxfId="17" priority="1" stopIfTrue="1" operator="equal">
      <formula>"LOW"</formula>
    </cfRule>
    <cfRule type="cellIs" dxfId="16" priority="2" stopIfTrue="1" operator="equal">
      <formula>"MEDIUM"</formula>
    </cfRule>
    <cfRule type="cellIs" dxfId="15" priority="3" stopIfTrue="1" operator="equal">
      <formula>"HIGH"</formula>
    </cfRule>
  </conditionalFormatting>
  <conditionalFormatting sqref="J1:J1048576">
    <cfRule type="cellIs" dxfId="14" priority="4" stopIfTrue="1" operator="equal">
      <formula>"N/A"</formula>
    </cfRule>
    <cfRule type="cellIs" dxfId="13" priority="5" stopIfTrue="1" operator="equal">
      <formula>"SKIPPED"</formula>
    </cfRule>
    <cfRule type="cellIs" dxfId="12" priority="6" stopIfTrue="1" operator="equal">
      <formula>"BLOCKED"</formula>
    </cfRule>
    <cfRule type="cellIs" dxfId="11" priority="7" stopIfTrue="1" operator="equal">
      <formula>"FAIL"</formula>
    </cfRule>
    <cfRule type="cellIs" dxfId="10" priority="8" stopIfTrue="1" operator="equal">
      <formula>"PASS"</formula>
    </cfRule>
  </conditionalFormatting>
  <conditionalFormatting sqref="K1:K1048576">
    <cfRule type="cellIs" dxfId="9" priority="9" operator="equal">
      <formula>"PASS"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11F4EA-7739-4933-A58A-9C2B24E85CE3}">
          <x14:formula1>
            <xm:f>Guide!$A$17:$A$21</xm:f>
          </x14:formula1>
          <xm:sqref>J2 J4:J9 J11:J19 J21:J30 J32:J42 J44:J1048576</xm:sqref>
        </x14:dataValidation>
        <x14:dataValidation type="list" allowBlank="1" showInputMessage="1" showErrorMessage="1" xr:uid="{8F5588CF-1745-4547-8B88-1FED653E66AF}">
          <x14:formula1>
            <xm:f>Guide!$A$25:$A$27</xm:f>
          </x14:formula1>
          <xm:sqref>E4:E9 E11:E19 E21:E30 E32:E42 E44:E1048576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006A-0978-494B-A19B-58FE45F43CB2}">
  <dimension ref="A1:K31"/>
  <sheetViews>
    <sheetView topLeftCell="A27" zoomScaleNormal="100" workbookViewId="0">
      <selection activeCell="A23" sqref="A23:K23"/>
    </sheetView>
  </sheetViews>
  <sheetFormatPr defaultRowHeight="14.5" x14ac:dyDescent="0.35"/>
  <cols>
    <col min="1" max="1" width="5.90625" customWidth="1"/>
    <col min="2" max="2" width="15.6328125" customWidth="1"/>
    <col min="3" max="3" width="14.7265625" customWidth="1"/>
    <col min="4" max="4" width="24.26953125" customWidth="1"/>
    <col min="5" max="5" width="8.36328125" bestFit="1" customWidth="1"/>
    <col min="6" max="6" width="17.54296875" customWidth="1"/>
    <col min="7" max="7" width="21.08984375" customWidth="1"/>
    <col min="8" max="8" width="30.08984375" customWidth="1"/>
    <col min="9" max="9" width="31.7265625" customWidth="1"/>
    <col min="10" max="10" width="10.90625" customWidth="1"/>
    <col min="11" max="11" width="20.90625" customWidth="1"/>
  </cols>
  <sheetData>
    <row r="1" spans="1:11" ht="23" customHeight="1" x14ac:dyDescent="0.35">
      <c r="A1" s="40" t="s">
        <v>580</v>
      </c>
      <c r="B1" s="41"/>
      <c r="C1" s="41"/>
      <c r="D1" s="41"/>
      <c r="E1" s="41"/>
      <c r="F1" s="41"/>
      <c r="G1" s="41"/>
      <c r="H1" s="41"/>
      <c r="I1" s="41"/>
      <c r="J1" s="41"/>
      <c r="K1" s="42"/>
    </row>
    <row r="2" spans="1:11" s="16" customFormat="1" ht="17" x14ac:dyDescent="0.35">
      <c r="A2" s="2" t="s">
        <v>9</v>
      </c>
      <c r="B2" s="2" t="s">
        <v>10</v>
      </c>
      <c r="C2" s="2" t="s">
        <v>0</v>
      </c>
      <c r="D2" s="2" t="s">
        <v>1</v>
      </c>
      <c r="E2" s="2" t="s">
        <v>2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3</v>
      </c>
      <c r="K2" s="2" t="s">
        <v>4</v>
      </c>
    </row>
    <row r="3" spans="1:11" s="16" customFormat="1" x14ac:dyDescent="0.35">
      <c r="A3" s="43" t="s">
        <v>300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s="16" customFormat="1" ht="29" x14ac:dyDescent="0.35">
      <c r="A4" s="18">
        <v>1</v>
      </c>
      <c r="B4" s="19" t="s">
        <v>285</v>
      </c>
      <c r="C4" s="18" t="s">
        <v>286</v>
      </c>
      <c r="D4" s="20" t="s">
        <v>289</v>
      </c>
      <c r="E4" s="18" t="s">
        <v>47</v>
      </c>
      <c r="F4" s="20" t="s">
        <v>292</v>
      </c>
      <c r="G4" s="20" t="s">
        <v>294</v>
      </c>
      <c r="H4" s="20" t="s">
        <v>297</v>
      </c>
      <c r="I4" s="20" t="s">
        <v>297</v>
      </c>
      <c r="J4" s="18" t="s">
        <v>19</v>
      </c>
      <c r="K4" s="19"/>
    </row>
    <row r="5" spans="1:11" s="16" customFormat="1" ht="43.5" x14ac:dyDescent="0.35">
      <c r="A5" s="18">
        <v>2</v>
      </c>
      <c r="B5" s="19" t="s">
        <v>285</v>
      </c>
      <c r="C5" s="18" t="s">
        <v>287</v>
      </c>
      <c r="D5" s="20" t="s">
        <v>290</v>
      </c>
      <c r="E5" s="18" t="s">
        <v>47</v>
      </c>
      <c r="F5" s="20" t="s">
        <v>293</v>
      </c>
      <c r="G5" s="20" t="s">
        <v>295</v>
      </c>
      <c r="H5" s="20" t="s">
        <v>298</v>
      </c>
      <c r="I5" s="20" t="s">
        <v>298</v>
      </c>
      <c r="J5" s="18" t="s">
        <v>19</v>
      </c>
      <c r="K5" s="19"/>
    </row>
    <row r="6" spans="1:11" s="16" customFormat="1" ht="29" x14ac:dyDescent="0.35">
      <c r="A6" s="18">
        <v>3</v>
      </c>
      <c r="B6" s="19" t="s">
        <v>285</v>
      </c>
      <c r="C6" s="18" t="s">
        <v>288</v>
      </c>
      <c r="D6" s="20" t="s">
        <v>291</v>
      </c>
      <c r="E6" s="18" t="s">
        <v>51</v>
      </c>
      <c r="F6" s="20" t="s">
        <v>293</v>
      </c>
      <c r="G6" s="20" t="s">
        <v>296</v>
      </c>
      <c r="H6" s="20" t="s">
        <v>299</v>
      </c>
      <c r="I6" s="20" t="s">
        <v>299</v>
      </c>
      <c r="J6" s="18" t="s">
        <v>19</v>
      </c>
      <c r="K6" s="19"/>
    </row>
    <row r="7" spans="1:11" s="16" customFormat="1" x14ac:dyDescent="0.35">
      <c r="A7" s="43" t="s">
        <v>301</v>
      </c>
      <c r="B7" s="43"/>
      <c r="C7" s="43"/>
      <c r="D7" s="43"/>
      <c r="E7" s="43"/>
      <c r="F7" s="43"/>
      <c r="G7" s="43"/>
      <c r="H7" s="43"/>
      <c r="I7" s="43"/>
      <c r="J7" s="43"/>
      <c r="K7" s="43"/>
    </row>
    <row r="8" spans="1:11" s="16" customFormat="1" ht="43.5" x14ac:dyDescent="0.35">
      <c r="A8" s="18">
        <v>4</v>
      </c>
      <c r="B8" s="19" t="s">
        <v>308</v>
      </c>
      <c r="C8" s="18" t="s">
        <v>302</v>
      </c>
      <c r="D8" s="20" t="s">
        <v>304</v>
      </c>
      <c r="E8" s="18" t="s">
        <v>47</v>
      </c>
      <c r="F8" s="20" t="s">
        <v>305</v>
      </c>
      <c r="G8" s="20" t="s">
        <v>306</v>
      </c>
      <c r="H8" s="20" t="s">
        <v>307</v>
      </c>
      <c r="I8" s="20" t="s">
        <v>307</v>
      </c>
      <c r="J8" s="18" t="s">
        <v>19</v>
      </c>
      <c r="K8" s="19"/>
    </row>
    <row r="9" spans="1:11" s="16" customFormat="1" ht="58" x14ac:dyDescent="0.35">
      <c r="A9" s="18">
        <v>5</v>
      </c>
      <c r="B9" s="19" t="s">
        <v>308</v>
      </c>
      <c r="C9" s="18" t="s">
        <v>309</v>
      </c>
      <c r="D9" s="20" t="s">
        <v>311</v>
      </c>
      <c r="E9" s="18" t="s">
        <v>47</v>
      </c>
      <c r="F9" s="20" t="s">
        <v>305</v>
      </c>
      <c r="G9" s="20" t="s">
        <v>313</v>
      </c>
      <c r="H9" s="20" t="s">
        <v>205</v>
      </c>
      <c r="I9" s="20" t="s">
        <v>312</v>
      </c>
      <c r="J9" s="18" t="s">
        <v>19</v>
      </c>
      <c r="K9" s="19"/>
    </row>
    <row r="10" spans="1:11" s="16" customFormat="1" ht="79.5" customHeight="1" x14ac:dyDescent="0.35">
      <c r="A10" s="18">
        <v>6</v>
      </c>
      <c r="B10" s="19" t="s">
        <v>308</v>
      </c>
      <c r="C10" s="18" t="s">
        <v>310</v>
      </c>
      <c r="D10" s="20" t="s">
        <v>320</v>
      </c>
      <c r="E10" s="18" t="s">
        <v>47</v>
      </c>
      <c r="F10" s="20" t="s">
        <v>305</v>
      </c>
      <c r="G10" s="20" t="s">
        <v>324</v>
      </c>
      <c r="H10" s="20" t="s">
        <v>205</v>
      </c>
      <c r="I10" s="20" t="s">
        <v>325</v>
      </c>
      <c r="J10" s="18" t="s">
        <v>20</v>
      </c>
      <c r="K10" s="20" t="s">
        <v>592</v>
      </c>
    </row>
    <row r="11" spans="1:11" s="16" customFormat="1" ht="43.5" x14ac:dyDescent="0.35">
      <c r="A11" s="18">
        <v>7</v>
      </c>
      <c r="B11" s="19" t="s">
        <v>308</v>
      </c>
      <c r="C11" s="18" t="s">
        <v>317</v>
      </c>
      <c r="D11" s="20" t="s">
        <v>314</v>
      </c>
      <c r="E11" s="18" t="s">
        <v>47</v>
      </c>
      <c r="F11" s="20" t="s">
        <v>305</v>
      </c>
      <c r="G11" s="20" t="s">
        <v>323</v>
      </c>
      <c r="H11" s="20" t="s">
        <v>205</v>
      </c>
      <c r="I11" s="20" t="s">
        <v>312</v>
      </c>
      <c r="J11" s="18" t="s">
        <v>19</v>
      </c>
      <c r="K11" s="19"/>
    </row>
    <row r="12" spans="1:11" s="16" customFormat="1" ht="58" x14ac:dyDescent="0.35">
      <c r="A12" s="18">
        <v>8</v>
      </c>
      <c r="B12" s="19" t="s">
        <v>308</v>
      </c>
      <c r="C12" s="18" t="s">
        <v>318</v>
      </c>
      <c r="D12" s="20" t="s">
        <v>315</v>
      </c>
      <c r="E12" s="18" t="s">
        <v>51</v>
      </c>
      <c r="F12" s="20" t="s">
        <v>321</v>
      </c>
      <c r="G12" s="20" t="s">
        <v>296</v>
      </c>
      <c r="H12" s="20" t="s">
        <v>326</v>
      </c>
      <c r="I12" s="20" t="s">
        <v>326</v>
      </c>
      <c r="J12" s="18" t="s">
        <v>19</v>
      </c>
      <c r="K12" s="19"/>
    </row>
    <row r="13" spans="1:11" s="16" customFormat="1" ht="58" x14ac:dyDescent="0.35">
      <c r="A13" s="18">
        <v>9</v>
      </c>
      <c r="B13" s="19" t="s">
        <v>308</v>
      </c>
      <c r="C13" s="18" t="s">
        <v>319</v>
      </c>
      <c r="D13" s="20" t="s">
        <v>316</v>
      </c>
      <c r="E13" s="18" t="s">
        <v>47</v>
      </c>
      <c r="F13" s="20" t="s">
        <v>322</v>
      </c>
      <c r="G13" s="20" t="s">
        <v>327</v>
      </c>
      <c r="H13" s="20" t="s">
        <v>328</v>
      </c>
      <c r="I13" s="20" t="s">
        <v>329</v>
      </c>
      <c r="J13" s="18" t="s">
        <v>19</v>
      </c>
      <c r="K13" s="19"/>
    </row>
    <row r="14" spans="1:11" s="16" customFormat="1" x14ac:dyDescent="0.35">
      <c r="A14" s="43" t="s">
        <v>369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spans="1:11" s="16" customFormat="1" ht="43.5" x14ac:dyDescent="0.35">
      <c r="A15" s="18">
        <v>10</v>
      </c>
      <c r="B15" s="19" t="s">
        <v>330</v>
      </c>
      <c r="C15" s="18" t="s">
        <v>331</v>
      </c>
      <c r="D15" s="20" t="s">
        <v>353</v>
      </c>
      <c r="E15" s="18" t="s">
        <v>47</v>
      </c>
      <c r="F15" s="20" t="s">
        <v>303</v>
      </c>
      <c r="G15" s="20" t="s">
        <v>373</v>
      </c>
      <c r="H15" s="20" t="s">
        <v>354</v>
      </c>
      <c r="I15" s="20" t="s">
        <v>354</v>
      </c>
      <c r="J15" s="18" t="s">
        <v>19</v>
      </c>
      <c r="K15" s="19"/>
    </row>
    <row r="16" spans="1:11" s="16" customFormat="1" ht="29" x14ac:dyDescent="0.35">
      <c r="A16" s="18">
        <v>11</v>
      </c>
      <c r="B16" s="19" t="s">
        <v>330</v>
      </c>
      <c r="C16" s="18" t="s">
        <v>335</v>
      </c>
      <c r="D16" s="20" t="s">
        <v>332</v>
      </c>
      <c r="E16" s="18" t="s">
        <v>47</v>
      </c>
      <c r="F16" s="20" t="s">
        <v>333</v>
      </c>
      <c r="G16" s="20" t="s">
        <v>334</v>
      </c>
      <c r="H16" s="20" t="s">
        <v>367</v>
      </c>
      <c r="I16" s="20" t="s">
        <v>367</v>
      </c>
      <c r="J16" s="18" t="s">
        <v>19</v>
      </c>
      <c r="K16" s="19"/>
    </row>
    <row r="17" spans="1:11" s="16" customFormat="1" ht="29" x14ac:dyDescent="0.35">
      <c r="A17" s="18">
        <v>12</v>
      </c>
      <c r="B17" s="19" t="s">
        <v>330</v>
      </c>
      <c r="C17" s="18" t="s">
        <v>336</v>
      </c>
      <c r="D17" s="20" t="s">
        <v>342</v>
      </c>
      <c r="E17" s="18" t="s">
        <v>47</v>
      </c>
      <c r="F17" s="20" t="s">
        <v>346</v>
      </c>
      <c r="G17" s="20" t="s">
        <v>347</v>
      </c>
      <c r="H17" s="20" t="s">
        <v>348</v>
      </c>
      <c r="I17" s="20" t="s">
        <v>348</v>
      </c>
      <c r="J17" s="18" t="s">
        <v>19</v>
      </c>
      <c r="K17" s="19"/>
    </row>
    <row r="18" spans="1:11" s="16" customFormat="1" ht="43.5" x14ac:dyDescent="0.35">
      <c r="A18" s="18">
        <v>13</v>
      </c>
      <c r="B18" s="19" t="s">
        <v>330</v>
      </c>
      <c r="C18" s="18" t="s">
        <v>337</v>
      </c>
      <c r="D18" s="20" t="s">
        <v>343</v>
      </c>
      <c r="E18" s="18" t="s">
        <v>47</v>
      </c>
      <c r="F18" s="20" t="s">
        <v>349</v>
      </c>
      <c r="G18" s="20" t="s">
        <v>350</v>
      </c>
      <c r="H18" s="20" t="s">
        <v>351</v>
      </c>
      <c r="I18" s="20" t="s">
        <v>351</v>
      </c>
      <c r="J18" s="18" t="s">
        <v>19</v>
      </c>
      <c r="K18" s="19"/>
    </row>
    <row r="19" spans="1:11" s="16" customFormat="1" ht="58" x14ac:dyDescent="0.35">
      <c r="A19" s="18">
        <v>14</v>
      </c>
      <c r="B19" s="19" t="s">
        <v>330</v>
      </c>
      <c r="C19" s="18" t="s">
        <v>338</v>
      </c>
      <c r="D19" s="20" t="s">
        <v>344</v>
      </c>
      <c r="E19" s="18" t="s">
        <v>47</v>
      </c>
      <c r="F19" s="20" t="s">
        <v>355</v>
      </c>
      <c r="G19" s="20" t="s">
        <v>352</v>
      </c>
      <c r="H19" s="20" t="s">
        <v>357</v>
      </c>
      <c r="I19" s="20" t="s">
        <v>359</v>
      </c>
      <c r="J19" s="18" t="s">
        <v>19</v>
      </c>
      <c r="K19" s="19"/>
    </row>
    <row r="20" spans="1:11" s="16" customFormat="1" ht="77" customHeight="1" x14ac:dyDescent="0.35">
      <c r="A20" s="18">
        <v>15</v>
      </c>
      <c r="B20" s="19" t="s">
        <v>330</v>
      </c>
      <c r="C20" s="18" t="s">
        <v>339</v>
      </c>
      <c r="D20" s="20" t="s">
        <v>345</v>
      </c>
      <c r="E20" s="18" t="s">
        <v>47</v>
      </c>
      <c r="F20" s="20" t="s">
        <v>356</v>
      </c>
      <c r="G20" s="20" t="s">
        <v>352</v>
      </c>
      <c r="H20" s="20" t="s">
        <v>358</v>
      </c>
      <c r="I20" s="20" t="s">
        <v>360</v>
      </c>
      <c r="J20" s="18" t="s">
        <v>20</v>
      </c>
      <c r="K20" s="20" t="s">
        <v>591</v>
      </c>
    </row>
    <row r="21" spans="1:11" s="16" customFormat="1" ht="72.5" x14ac:dyDescent="0.35">
      <c r="A21" s="18">
        <v>16</v>
      </c>
      <c r="B21" s="19" t="s">
        <v>330</v>
      </c>
      <c r="C21" s="18" t="s">
        <v>340</v>
      </c>
      <c r="D21" s="20" t="s">
        <v>361</v>
      </c>
      <c r="E21" s="18" t="s">
        <v>51</v>
      </c>
      <c r="F21" s="20" t="s">
        <v>596</v>
      </c>
      <c r="G21" s="20" t="s">
        <v>374</v>
      </c>
      <c r="H21" s="20" t="s">
        <v>362</v>
      </c>
      <c r="I21" s="20" t="s">
        <v>363</v>
      </c>
      <c r="J21" s="18" t="s">
        <v>20</v>
      </c>
      <c r="K21" s="20" t="s">
        <v>368</v>
      </c>
    </row>
    <row r="22" spans="1:11" s="16" customFormat="1" ht="87" x14ac:dyDescent="0.35">
      <c r="A22" s="18">
        <v>17</v>
      </c>
      <c r="B22" s="19" t="s">
        <v>330</v>
      </c>
      <c r="C22" s="18" t="s">
        <v>341</v>
      </c>
      <c r="D22" s="20" t="s">
        <v>364</v>
      </c>
      <c r="E22" s="18" t="s">
        <v>47</v>
      </c>
      <c r="F22" s="20" t="s">
        <v>595</v>
      </c>
      <c r="G22" s="20" t="s">
        <v>352</v>
      </c>
      <c r="H22" s="20" t="s">
        <v>365</v>
      </c>
      <c r="I22" s="20" t="s">
        <v>366</v>
      </c>
      <c r="J22" s="18" t="s">
        <v>20</v>
      </c>
      <c r="K22" s="20" t="s">
        <v>594</v>
      </c>
    </row>
    <row r="23" spans="1:11" s="16" customFormat="1" x14ac:dyDescent="0.35">
      <c r="A23" s="43" t="s">
        <v>370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</row>
    <row r="24" spans="1:11" s="16" customFormat="1" ht="43.5" x14ac:dyDescent="0.35">
      <c r="A24" s="18">
        <v>18</v>
      </c>
      <c r="B24" s="19" t="s">
        <v>371</v>
      </c>
      <c r="C24" s="18" t="s">
        <v>376</v>
      </c>
      <c r="D24" s="20" t="s">
        <v>372</v>
      </c>
      <c r="E24" s="18" t="s">
        <v>47</v>
      </c>
      <c r="F24" s="20" t="s">
        <v>292</v>
      </c>
      <c r="G24" s="20" t="s">
        <v>375</v>
      </c>
      <c r="H24" s="20" t="s">
        <v>388</v>
      </c>
      <c r="I24" s="20" t="s">
        <v>388</v>
      </c>
      <c r="J24" s="18" t="s">
        <v>19</v>
      </c>
      <c r="K24" s="19"/>
    </row>
    <row r="25" spans="1:11" s="16" customFormat="1" ht="29" x14ac:dyDescent="0.35">
      <c r="A25" s="18">
        <v>19</v>
      </c>
      <c r="B25" s="19" t="s">
        <v>371</v>
      </c>
      <c r="C25" s="18" t="s">
        <v>377</v>
      </c>
      <c r="D25" s="20" t="s">
        <v>383</v>
      </c>
      <c r="E25" s="18" t="s">
        <v>47</v>
      </c>
      <c r="F25" s="20" t="s">
        <v>387</v>
      </c>
      <c r="G25" s="20" t="s">
        <v>379</v>
      </c>
      <c r="H25" s="20" t="s">
        <v>380</v>
      </c>
      <c r="I25" s="20" t="s">
        <v>381</v>
      </c>
      <c r="J25" s="18" t="s">
        <v>19</v>
      </c>
      <c r="K25" s="19"/>
    </row>
    <row r="26" spans="1:11" s="16" customFormat="1" ht="29" x14ac:dyDescent="0.35">
      <c r="A26" s="18">
        <v>20</v>
      </c>
      <c r="B26" s="19" t="s">
        <v>371</v>
      </c>
      <c r="C26" s="18" t="s">
        <v>378</v>
      </c>
      <c r="D26" s="20" t="s">
        <v>382</v>
      </c>
      <c r="E26" s="18" t="s">
        <v>47</v>
      </c>
      <c r="F26" s="20" t="s">
        <v>387</v>
      </c>
      <c r="G26" s="20" t="s">
        <v>384</v>
      </c>
      <c r="H26" s="20" t="s">
        <v>385</v>
      </c>
      <c r="I26" s="20" t="s">
        <v>385</v>
      </c>
      <c r="J26" s="18" t="s">
        <v>19</v>
      </c>
      <c r="K26" s="19"/>
    </row>
    <row r="27" spans="1:11" s="16" customFormat="1" x14ac:dyDescent="0.35">
      <c r="A27" s="43" t="s">
        <v>386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</row>
    <row r="28" spans="1:11" s="16" customFormat="1" ht="72.5" x14ac:dyDescent="0.35">
      <c r="A28" s="18">
        <v>21</v>
      </c>
      <c r="B28" s="19" t="s">
        <v>586</v>
      </c>
      <c r="C28" s="18" t="s">
        <v>406</v>
      </c>
      <c r="D28" s="20" t="s">
        <v>400</v>
      </c>
      <c r="E28" s="18" t="s">
        <v>47</v>
      </c>
      <c r="F28" s="20" t="s">
        <v>403</v>
      </c>
      <c r="G28" s="20" t="s">
        <v>402</v>
      </c>
      <c r="H28" s="20" t="s">
        <v>405</v>
      </c>
      <c r="I28" s="20" t="s">
        <v>539</v>
      </c>
      <c r="J28" s="18" t="s">
        <v>21</v>
      </c>
      <c r="K28" s="20" t="s">
        <v>540</v>
      </c>
    </row>
    <row r="29" spans="1:11" s="16" customFormat="1" ht="72.5" x14ac:dyDescent="0.35">
      <c r="A29" s="18">
        <v>22</v>
      </c>
      <c r="B29" s="19" t="s">
        <v>586</v>
      </c>
      <c r="C29" s="18" t="s">
        <v>407</v>
      </c>
      <c r="D29" s="20" t="s">
        <v>401</v>
      </c>
      <c r="E29" s="18" t="s">
        <v>47</v>
      </c>
      <c r="F29" s="20" t="s">
        <v>403</v>
      </c>
      <c r="G29" s="20" t="s">
        <v>404</v>
      </c>
      <c r="H29" s="20" t="s">
        <v>405</v>
      </c>
      <c r="I29" s="20" t="s">
        <v>539</v>
      </c>
      <c r="J29" s="18" t="s">
        <v>21</v>
      </c>
      <c r="K29" s="20" t="s">
        <v>540</v>
      </c>
    </row>
    <row r="30" spans="1:11" s="16" customFormat="1" ht="72.5" x14ac:dyDescent="0.35">
      <c r="A30" s="18">
        <v>23</v>
      </c>
      <c r="B30" s="19" t="s">
        <v>586</v>
      </c>
      <c r="C30" s="18" t="s">
        <v>408</v>
      </c>
      <c r="D30" s="20" t="s">
        <v>460</v>
      </c>
      <c r="E30" s="18" t="s">
        <v>46</v>
      </c>
      <c r="F30" s="20" t="s">
        <v>461</v>
      </c>
      <c r="G30" s="20" t="s">
        <v>462</v>
      </c>
      <c r="H30" s="20" t="s">
        <v>463</v>
      </c>
      <c r="I30" s="20" t="s">
        <v>539</v>
      </c>
      <c r="J30" s="18" t="s">
        <v>21</v>
      </c>
      <c r="K30" s="20" t="s">
        <v>540</v>
      </c>
    </row>
    <row r="31" spans="1:11" s="16" customFormat="1" ht="72.5" x14ac:dyDescent="0.35">
      <c r="A31" s="18">
        <v>24</v>
      </c>
      <c r="B31" s="19" t="s">
        <v>586</v>
      </c>
      <c r="C31" s="18" t="s">
        <v>464</v>
      </c>
      <c r="D31" s="20" t="s">
        <v>465</v>
      </c>
      <c r="E31" s="18" t="s">
        <v>46</v>
      </c>
      <c r="F31" s="20" t="s">
        <v>466</v>
      </c>
      <c r="G31" s="20" t="s">
        <v>462</v>
      </c>
      <c r="H31" s="20" t="s">
        <v>463</v>
      </c>
      <c r="I31" s="20" t="s">
        <v>539</v>
      </c>
      <c r="J31" s="18" t="s">
        <v>21</v>
      </c>
      <c r="K31" s="20" t="s">
        <v>540</v>
      </c>
    </row>
  </sheetData>
  <mergeCells count="6">
    <mergeCell ref="A27:K27"/>
    <mergeCell ref="A1:K1"/>
    <mergeCell ref="A3:K3"/>
    <mergeCell ref="A7:K7"/>
    <mergeCell ref="A14:K14"/>
    <mergeCell ref="A23:K23"/>
  </mergeCells>
  <phoneticPr fontId="4" type="noConversion"/>
  <conditionalFormatting sqref="E1:E31">
    <cfRule type="cellIs" dxfId="8" priority="1" stopIfTrue="1" operator="equal">
      <formula>"LOW"</formula>
    </cfRule>
    <cfRule type="cellIs" dxfId="7" priority="2" stopIfTrue="1" operator="equal">
      <formula>"MEDIUM"</formula>
    </cfRule>
    <cfRule type="cellIs" dxfId="6" priority="3" stopIfTrue="1" operator="equal">
      <formula>"HIGH"</formula>
    </cfRule>
  </conditionalFormatting>
  <conditionalFormatting sqref="J1:J31">
    <cfRule type="cellIs" dxfId="5" priority="4" stopIfTrue="1" operator="equal">
      <formula>"N/A"</formula>
    </cfRule>
    <cfRule type="cellIs" dxfId="4" priority="5" stopIfTrue="1" operator="equal">
      <formula>"SKIPPED"</formula>
    </cfRule>
    <cfRule type="cellIs" dxfId="3" priority="6" stopIfTrue="1" operator="equal">
      <formula>"BLOCKED"</formula>
    </cfRule>
    <cfRule type="cellIs" dxfId="2" priority="7" stopIfTrue="1" operator="equal">
      <formula>"FAIL"</formula>
    </cfRule>
    <cfRule type="cellIs" dxfId="1" priority="8" stopIfTrue="1" operator="equal">
      <formula>"PASS"</formula>
    </cfRule>
  </conditionalFormatting>
  <conditionalFormatting sqref="K1:K31">
    <cfRule type="cellIs" dxfId="0" priority="9" operator="equal">
      <formula>"PASS"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801A877-08E3-401D-80B0-570BF56339D9}">
          <x14:formula1>
            <xm:f>Guide!$A$17:$A$21</xm:f>
          </x14:formula1>
          <xm:sqref>J2 J4:J6 J8:J13 J15:J22 J24:J26 J28:J31</xm:sqref>
        </x14:dataValidation>
        <x14:dataValidation type="list" allowBlank="1" showInputMessage="1" showErrorMessage="1" xr:uid="{814EB352-F1DF-410C-B727-E7DC9CD469FF}">
          <x14:formula1>
            <xm:f>Guide!$A$25:$A$27</xm:f>
          </x14:formula1>
          <xm:sqref>E4:E6 E8:E13 E15:E22 E24:E26 E28:E31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E2B4-2F17-4039-9E00-2F908AD455B1}">
  <dimension ref="A1:B15"/>
  <sheetViews>
    <sheetView workbookViewId="0">
      <selection activeCell="G30" sqref="G30"/>
    </sheetView>
  </sheetViews>
  <sheetFormatPr defaultRowHeight="14.5" x14ac:dyDescent="0.35"/>
  <cols>
    <col min="1" max="1" width="19.453125" customWidth="1"/>
    <col min="2" max="2" width="24.453125" customWidth="1"/>
  </cols>
  <sheetData>
    <row r="1" spans="1:2" x14ac:dyDescent="0.35">
      <c r="A1" s="29" t="s">
        <v>436</v>
      </c>
      <c r="B1" s="29" t="s">
        <v>437</v>
      </c>
    </row>
    <row r="2" spans="1:2" x14ac:dyDescent="0.35">
      <c r="A2" s="25" t="s">
        <v>438</v>
      </c>
      <c r="B2" s="26" t="s">
        <v>439</v>
      </c>
    </row>
    <row r="3" spans="1:2" x14ac:dyDescent="0.35">
      <c r="A3" s="25" t="s">
        <v>440</v>
      </c>
      <c r="B3" s="26">
        <v>10203040</v>
      </c>
    </row>
    <row r="4" spans="1:2" x14ac:dyDescent="0.35">
      <c r="A4" s="25" t="s">
        <v>441</v>
      </c>
      <c r="B4" s="26" t="s">
        <v>442</v>
      </c>
    </row>
    <row r="5" spans="1:2" x14ac:dyDescent="0.35">
      <c r="A5" s="25" t="s">
        <v>443</v>
      </c>
      <c r="B5" s="26" t="s">
        <v>444</v>
      </c>
    </row>
    <row r="6" spans="1:2" x14ac:dyDescent="0.35">
      <c r="A6" s="25" t="s">
        <v>445</v>
      </c>
      <c r="B6" s="26" t="s">
        <v>446</v>
      </c>
    </row>
    <row r="7" spans="1:2" x14ac:dyDescent="0.35">
      <c r="A7" s="25" t="s">
        <v>447</v>
      </c>
      <c r="B7" s="26" t="s">
        <v>448</v>
      </c>
    </row>
    <row r="8" spans="1:2" x14ac:dyDescent="0.35">
      <c r="A8" s="25" t="s">
        <v>449</v>
      </c>
      <c r="B8" s="26" t="s">
        <v>450</v>
      </c>
    </row>
    <row r="9" spans="1:2" x14ac:dyDescent="0.35">
      <c r="A9" s="25" t="s">
        <v>451</v>
      </c>
      <c r="B9" s="26">
        <v>89750</v>
      </c>
    </row>
    <row r="10" spans="1:2" x14ac:dyDescent="0.35">
      <c r="A10" s="25" t="s">
        <v>452</v>
      </c>
      <c r="B10" s="26" t="s">
        <v>453</v>
      </c>
    </row>
    <row r="11" spans="1:2" x14ac:dyDescent="0.35">
      <c r="A11" s="25" t="s">
        <v>454</v>
      </c>
      <c r="B11" s="26" t="s">
        <v>444</v>
      </c>
    </row>
    <row r="12" spans="1:2" x14ac:dyDescent="0.35">
      <c r="A12" s="25" t="s">
        <v>455</v>
      </c>
      <c r="B12" s="27">
        <v>325812657568789</v>
      </c>
    </row>
    <row r="13" spans="1:2" x14ac:dyDescent="0.35">
      <c r="A13" s="25" t="s">
        <v>456</v>
      </c>
      <c r="B13" s="28" t="s">
        <v>538</v>
      </c>
    </row>
    <row r="14" spans="1:2" x14ac:dyDescent="0.35">
      <c r="A14" s="25" t="s">
        <v>457</v>
      </c>
      <c r="B14" s="26">
        <v>123</v>
      </c>
    </row>
    <row r="15" spans="1:2" x14ac:dyDescent="0.35">
      <c r="A15" s="25" t="s">
        <v>458</v>
      </c>
      <c r="B15" s="26" t="s">
        <v>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91B9-F9C0-42D2-BD8B-394454207CD4}">
  <dimension ref="A1:B27"/>
  <sheetViews>
    <sheetView workbookViewId="0">
      <selection activeCell="D4" sqref="D4"/>
    </sheetView>
  </sheetViews>
  <sheetFormatPr defaultRowHeight="14.5" x14ac:dyDescent="0.35"/>
  <cols>
    <col min="1" max="1" width="16.26953125" style="1" customWidth="1"/>
    <col min="2" max="2" width="45.90625" style="1" customWidth="1"/>
    <col min="3" max="4" width="8.7265625" style="1"/>
    <col min="5" max="5" width="8.7265625" style="1" customWidth="1"/>
    <col min="6" max="16384" width="8.7265625" style="1"/>
  </cols>
  <sheetData>
    <row r="1" spans="1:2" x14ac:dyDescent="0.35">
      <c r="A1" s="47" t="s">
        <v>38</v>
      </c>
      <c r="B1" s="48"/>
    </row>
    <row r="2" spans="1:2" x14ac:dyDescent="0.35">
      <c r="A2" s="3" t="s">
        <v>36</v>
      </c>
      <c r="B2" s="3" t="s">
        <v>37</v>
      </c>
    </row>
    <row r="3" spans="1:2" x14ac:dyDescent="0.35">
      <c r="A3" s="4" t="s">
        <v>9</v>
      </c>
      <c r="B3" s="5" t="s">
        <v>25</v>
      </c>
    </row>
    <row r="4" spans="1:2" x14ac:dyDescent="0.35">
      <c r="A4" s="4" t="s">
        <v>10</v>
      </c>
      <c r="B4" s="5" t="s">
        <v>26</v>
      </c>
    </row>
    <row r="5" spans="1:2" x14ac:dyDescent="0.35">
      <c r="A5" s="4" t="s">
        <v>0</v>
      </c>
      <c r="B5" s="5" t="s">
        <v>27</v>
      </c>
    </row>
    <row r="6" spans="1:2" x14ac:dyDescent="0.35">
      <c r="A6" s="4" t="s">
        <v>1</v>
      </c>
      <c r="B6" s="5" t="s">
        <v>28</v>
      </c>
    </row>
    <row r="7" spans="1:2" x14ac:dyDescent="0.35">
      <c r="A7" s="4" t="s">
        <v>2</v>
      </c>
      <c r="B7" s="5" t="s">
        <v>29</v>
      </c>
    </row>
    <row r="8" spans="1:2" x14ac:dyDescent="0.35">
      <c r="A8" s="4" t="s">
        <v>24</v>
      </c>
      <c r="B8" s="5" t="s">
        <v>30</v>
      </c>
    </row>
    <row r="9" spans="1:2" x14ac:dyDescent="0.35">
      <c r="A9" s="4" t="s">
        <v>6</v>
      </c>
      <c r="B9" s="5" t="s">
        <v>31</v>
      </c>
    </row>
    <row r="10" spans="1:2" x14ac:dyDescent="0.35">
      <c r="A10" s="4" t="s">
        <v>7</v>
      </c>
      <c r="B10" s="5" t="s">
        <v>32</v>
      </c>
    </row>
    <row r="11" spans="1:2" x14ac:dyDescent="0.35">
      <c r="A11" s="4" t="s">
        <v>8</v>
      </c>
      <c r="B11" s="5" t="s">
        <v>33</v>
      </c>
    </row>
    <row r="12" spans="1:2" x14ac:dyDescent="0.35">
      <c r="A12" s="4" t="s">
        <v>3</v>
      </c>
      <c r="B12" s="5" t="s">
        <v>34</v>
      </c>
    </row>
    <row r="13" spans="1:2" x14ac:dyDescent="0.35">
      <c r="A13" s="4" t="s">
        <v>4</v>
      </c>
      <c r="B13" s="5" t="s">
        <v>35</v>
      </c>
    </row>
    <row r="16" spans="1:2" x14ac:dyDescent="0.35">
      <c r="A16" s="49" t="s">
        <v>39</v>
      </c>
      <c r="B16" s="49"/>
    </row>
    <row r="17" spans="1:2" ht="26" x14ac:dyDescent="0.35">
      <c r="A17" s="7" t="s">
        <v>19</v>
      </c>
      <c r="B17" s="6" t="s">
        <v>40</v>
      </c>
    </row>
    <row r="18" spans="1:2" ht="26" x14ac:dyDescent="0.35">
      <c r="A18" s="8" t="s">
        <v>20</v>
      </c>
      <c r="B18" s="6" t="s">
        <v>41</v>
      </c>
    </row>
    <row r="19" spans="1:2" x14ac:dyDescent="0.35">
      <c r="A19" s="9" t="s">
        <v>21</v>
      </c>
      <c r="B19" s="6" t="s">
        <v>42</v>
      </c>
    </row>
    <row r="20" spans="1:2" x14ac:dyDescent="0.35">
      <c r="A20" s="11" t="s">
        <v>22</v>
      </c>
      <c r="B20" s="6" t="s">
        <v>43</v>
      </c>
    </row>
    <row r="21" spans="1:2" x14ac:dyDescent="0.35">
      <c r="A21" s="10" t="s">
        <v>23</v>
      </c>
      <c r="B21" s="6" t="s">
        <v>44</v>
      </c>
    </row>
    <row r="24" spans="1:2" x14ac:dyDescent="0.35">
      <c r="A24" s="50" t="s">
        <v>45</v>
      </c>
      <c r="B24" s="49"/>
    </row>
    <row r="25" spans="1:2" ht="39" x14ac:dyDescent="0.35">
      <c r="A25" s="13" t="s">
        <v>46</v>
      </c>
      <c r="B25" s="12" t="s">
        <v>48</v>
      </c>
    </row>
    <row r="26" spans="1:2" ht="26" x14ac:dyDescent="0.35">
      <c r="A26" s="14" t="s">
        <v>47</v>
      </c>
      <c r="B26" s="12" t="s">
        <v>49</v>
      </c>
    </row>
    <row r="27" spans="1:2" ht="26" x14ac:dyDescent="0.35">
      <c r="A27" s="15" t="s">
        <v>51</v>
      </c>
      <c r="B27" s="12" t="s">
        <v>50</v>
      </c>
    </row>
  </sheetData>
  <mergeCells count="3">
    <mergeCell ref="A1:B1"/>
    <mergeCell ref="A16:B16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Mobile-Specific Testing</vt:lpstr>
      <vt:lpstr>Function Testing</vt:lpstr>
      <vt:lpstr>Additional Features Testing</vt:lpstr>
      <vt:lpstr>Test Data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Nguyễn Hoàng Lâm</dc:creator>
  <cp:lastModifiedBy>Tấn Nguyễn Hoàng Lâm</cp:lastModifiedBy>
  <dcterms:created xsi:type="dcterms:W3CDTF">2026-06-09T10:28:32Z</dcterms:created>
  <dcterms:modified xsi:type="dcterms:W3CDTF">2026-06-13T17:21:57Z</dcterms:modified>
</cp:coreProperties>
</file>